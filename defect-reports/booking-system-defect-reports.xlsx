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areer-Reentry-Portfolio\Day-5-Postman-API-Testing\day5-finalization-pack\defect-reports\"/>
    </mc:Choice>
  </mc:AlternateContent>
  <xr:revisionPtr revIDLastSave="0" documentId="13_ncr:1_{BFC89B80-F14D-4985-8E5F-EBFCCAE0A80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  <sheet name="Defect_Reports" sheetId="2" r:id="rId2"/>
    <sheet name="Draft_His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<sst xmlns="http://schemas.openxmlformats.org/spreadsheetml/2006/main" count="114" uniqueCount="86">
  <si>
    <t>Defect Management Summary</t>
  </si>
  <si>
    <t>Metric</t>
  </si>
  <si>
    <t>Value</t>
  </si>
  <si>
    <t>Defect ID</t>
  </si>
  <si>
    <t>Severity</t>
  </si>
  <si>
    <t>Affected Test Cases</t>
  </si>
  <si>
    <t>Confirmed defects</t>
  </si>
  <si>
    <t>DEF-API-001</t>
  </si>
  <si>
    <t>High</t>
  </si>
  <si>
    <t>TC-BOOK-004; TC-UPD-005</t>
  </si>
  <si>
    <t>High severity</t>
  </si>
  <si>
    <t>DEF-API-002</t>
  </si>
  <si>
    <t>TC-BOOK-005; TC-VAL-002</t>
  </si>
  <si>
    <t>Medium severity</t>
  </si>
  <si>
    <t>DEF-API-003</t>
  </si>
  <si>
    <t>Medium</t>
  </si>
  <si>
    <t>TC-BOOK-002; TC-BOOK-003; TC-BOOK-006</t>
  </si>
  <si>
    <t>New status</t>
  </si>
  <si>
    <t>Draft history</t>
  </si>
  <si>
    <t>Preserved</t>
  </si>
  <si>
    <t>1 confirmed; 2 rejected</t>
  </si>
  <si>
    <t>Original drafts confirmed</t>
  </si>
  <si>
    <t>Original drafts rejected</t>
  </si>
  <si>
    <t>Title</t>
  </si>
  <si>
    <t>Requirement IDs</t>
  </si>
  <si>
    <t>Related Test Case IDs</t>
  </si>
  <si>
    <t>Module</t>
  </si>
  <si>
    <t>Environment</t>
  </si>
  <si>
    <t>Preconditions</t>
  </si>
  <si>
    <t>Steps to Reproduce</t>
  </si>
  <si>
    <t>Expected Result</t>
  </si>
  <si>
    <t>Actual Result</t>
  </si>
  <si>
    <t>Priority</t>
  </si>
  <si>
    <t>Status</t>
  </si>
  <si>
    <t>Validation State</t>
  </si>
  <si>
    <t>Evidence</t>
  </si>
  <si>
    <t>Comments</t>
  </si>
  <si>
    <t>API accepts checkout date earlier than check-in date during booking creation and update</t>
  </si>
  <si>
    <t>BOOK-003</t>
  </si>
  <si>
    <t>Booking Creation and Booking Update</t>
  </si>
  <si>
    <t>Restful Booker public demonstration API; Postman Desktop</t>
  </si>
  <si>
    <t>API is available. A valid token and booking ID exist for the update scenario.</t>
  </si>
  <si>
    <t>1. Submit POST /booking with check-in 2026-08-14 and checkout 2026-08-10.
2. Authenticate and create a valid booking.
3. Submit authenticated PUT /booking/{{bookingId}} using the same invalid date sequence.
4. Review both responses.</t>
  </si>
  <si>
    <t>The API returns HTTP 400 or 422 and does not create or update a booking using the invalid date sequence.</t>
  </si>
  <si>
    <t>The API returned HTTP 200 and accepted the invalid date sequence during both booking creation and update.</t>
  </si>
  <si>
    <t>New</t>
  </si>
  <si>
    <t>Confirmed through Postman execution</t>
  </si>
  <si>
    <t>day5-22 through day5-25; day5-37 through day5-39</t>
  </si>
  <si>
    <t>Reproduced on July 30, 2026.</t>
  </si>
  <si>
    <t>API accepts zero and negative total prices during booking creation</t>
  </si>
  <si>
    <t>BOOK-004</t>
  </si>
  <si>
    <t>Booking Creation and Validation</t>
  </si>
  <si>
    <t>API is available.</t>
  </si>
  <si>
    <t>1. Submit POST /booking with totalprice 0.
2. Submit POST /booking with totalprice -1.
3. Review both responses.</t>
  </si>
  <si>
    <t>The API returns HTTP 400 or 422 and does not create either booking.</t>
  </si>
  <si>
    <t>The API returned HTTP 200 and created bookings using zero and negative total prices.</t>
  </si>
  <si>
    <t>day5-26 through day5-29; day5-37 through day5-39</t>
  </si>
  <si>
    <t>POST /booking returns HTTP 500 instead of a client-validation response when required fields are missing</t>
  </si>
  <si>
    <t>BOOK-001; BOOK-002; NFR-002</t>
  </si>
  <si>
    <t>Booking Creation and Error Handling</t>
  </si>
  <si>
    <t>API is available and valid JSON headers are configured.</t>
  </si>
  <si>
    <t>1. Omit firstname and submit POST /booking.
2. Omit bookingdates and submit POST /booking.
3. Omit lastname and submit POST /booking.
4. Review each response.</t>
  </si>
  <si>
    <t>The API returns HTTP 400 or 422, identifies the missing field, and does not create a booking.</t>
  </si>
  <si>
    <t>The API returned HTTP 500 for all three scenarios. No booking ID was created, but no clear field-validation response was returned.</t>
  </si>
  <si>
    <t>day5-30 through day5-36; day5-37 through day5-39</t>
  </si>
  <si>
    <t>Original Draft ID</t>
  </si>
  <si>
    <t>Original Hypothesis</t>
  </si>
  <si>
    <t>Related Test Cases</t>
  </si>
  <si>
    <t>Final Outcome</t>
  </si>
  <si>
    <t>Converted Defect ID</t>
  </si>
  <si>
    <t>DEF-DRAFT-001</t>
  </si>
  <si>
    <t>API may accept checkout before check-in</t>
  </si>
  <si>
    <t>Confirmed</t>
  </si>
  <si>
    <t>HTTP 200 returned and the invalid date sequence was accepted during creation and authenticated update.</t>
  </si>
  <si>
    <t>Preserved for audit history and converted to a confirmed defect.</t>
  </si>
  <si>
    <t>DEF-DRAFT-002</t>
  </si>
  <si>
    <t>Unauthorized booking update may be accepted</t>
  </si>
  <si>
    <t>TC-UPD-002</t>
  </si>
  <si>
    <t>Rejected</t>
  </si>
  <si>
    <t>HTTP 403 returned when update was attempted without authentication.</t>
  </si>
  <si>
    <t>Behavior was not reproduced; the API rejected the unauthorized update.</t>
  </si>
  <si>
    <t>DEF-DRAFT-003</t>
  </si>
  <si>
    <t>Deleted booking may remain retrievable</t>
  </si>
  <si>
    <t>TC-DEL-002</t>
  </si>
  <si>
    <t>HTTP 404 returned when the deleted booking ID was retrieved.</t>
  </si>
  <si>
    <t>Behavior was not reproduced; the booking was no longer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</si>
</sst>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Font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8" xfId="0" applyFont="1" applyBorder="1"/>
    <xf numFmtId="0" fontId="0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ont="1" applyFill="1"/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1" sqref="F11"/>
    </sheetView>
  </sheetViews>
  <sheetFormatPr defaultRowHeight="14.25"/>
  <cols>
    <col min="1" max="1" width="34.75" customWidth="1"/>
    <col min="4" max="4" width="17.375" customWidth="1"/>
    <col min="6" max="6" width="38" customWidth="1"/>
  </cols>
  <sheetData>
    <row r="1" spans="1:6" ht="20.25">
      <c r="A1" s="12" t="s">
        <v>0</v>
      </c>
      <c r="B1" s="12"/>
      <c r="C1" s="12"/>
      <c r="D1" s="12"/>
      <c r="E1" s="12"/>
      <c r="F1" s="12"/>
    </row>
    <row r="3" spans="1:6" ht="27.75" customHeight="1">
      <c r="A3" s="19" t="s">
        <v>1</v>
      </c>
      <c r="B3" s="20" t="s">
        <v>2</v>
      </c>
      <c r="C3" s="21"/>
      <c r="D3" s="19" t="s">
        <v>3</v>
      </c>
      <c r="E3" s="22" t="s">
        <v>4</v>
      </c>
      <c r="F3" s="20" t="s">
        <v>5</v>
      </c>
    </row>
    <row r="4" spans="1:6">
      <c r="A4" s="14" t="s">
        <v>6</v>
      </c>
      <c r="B4" s="15">
        <v>3</v>
      </c>
      <c r="C4" s="13"/>
      <c r="D4" s="14" t="s">
        <v>7</v>
      </c>
      <c r="E4" s="13" t="s">
        <v>8</v>
      </c>
      <c r="F4" s="15" t="s">
        <v>9</v>
      </c>
    </row>
    <row r="5" spans="1:6">
      <c r="A5" s="14" t="s">
        <v>10</v>
      </c>
      <c r="B5" s="15">
        <f>COUNTIF(Defect_Reports!K2:K100,"High")</f>
        <v>2</v>
      </c>
      <c r="C5" s="13"/>
      <c r="D5" s="14" t="s">
        <v>11</v>
      </c>
      <c r="E5" s="13" t="s">
        <v>8</v>
      </c>
      <c r="F5" s="15" t="s">
        <v>12</v>
      </c>
    </row>
    <row r="6" spans="1:6">
      <c r="A6" s="14" t="s">
        <v>13</v>
      </c>
      <c r="B6" s="15">
        <f>COUNTIF(Defect_Reports!K2:K100,"Medium")</f>
        <v>1</v>
      </c>
      <c r="C6" s="13"/>
      <c r="D6" s="14" t="s">
        <v>14</v>
      </c>
      <c r="E6" s="13" t="s">
        <v>15</v>
      </c>
      <c r="F6" s="15" t="s">
        <v>16</v>
      </c>
    </row>
    <row r="7" spans="1:6">
      <c r="A7" s="14" t="s">
        <v>17</v>
      </c>
      <c r="B7" s="15">
        <f>COUNTIF(Defect_Reports!M2:M100,"New")</f>
        <v>3</v>
      </c>
      <c r="C7" s="13"/>
      <c r="D7" s="16" t="s">
        <v>18</v>
      </c>
      <c r="E7" s="17" t="s">
        <v>19</v>
      </c>
      <c r="F7" s="18" t="s">
        <v>20</v>
      </c>
    </row>
    <row r="8" spans="1:6">
      <c r="A8" s="14" t="s">
        <v>21</v>
      </c>
      <c r="B8" s="15">
        <f>COUNTIF(Draft_History!D2:D100,"Confirmed")</f>
        <v>1</v>
      </c>
      <c r="C8" s="13"/>
      <c r="D8" s="13"/>
      <c r="E8" s="13"/>
      <c r="F8" s="13"/>
    </row>
    <row r="9" spans="1:6">
      <c r="A9" s="16" t="s">
        <v>22</v>
      </c>
      <c r="B9" s="18">
        <f>COUNTIF(Draft_History!D2:D100,"Rejected")</f>
        <v>2</v>
      </c>
      <c r="C9" s="13"/>
      <c r="D9" s="13"/>
      <c r="E9" s="13"/>
      <c r="F9" s="1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"/>
  <sheetViews>
    <sheetView workbookViewId="0">
      <selection activeCell="B27" sqref="B27"/>
    </sheetView>
  </sheetViews>
  <sheetFormatPr defaultRowHeight="14.25"/>
  <cols>
    <col min="1" max="1" width="15" customWidth="1"/>
    <col min="2" max="2" width="45" customWidth="1"/>
    <col min="3" max="3" width="26" customWidth="1"/>
    <col min="4" max="4" width="28" customWidth="1"/>
    <col min="5" max="5" width="30" customWidth="1"/>
    <col min="6" max="6" width="42" customWidth="1"/>
    <col min="7" max="7" width="35" customWidth="1"/>
    <col min="8" max="8" width="58" customWidth="1"/>
    <col min="9" max="9" width="55" customWidth="1"/>
    <col min="10" max="10" width="58" customWidth="1"/>
    <col min="11" max="12" width="12" customWidth="1"/>
    <col min="13" max="13" width="14" customWidth="1"/>
    <col min="14" max="14" width="28" customWidth="1"/>
    <col min="15" max="15" width="35" customWidth="1"/>
    <col min="16" max="16" width="40" customWidth="1"/>
  </cols>
  <sheetData>
    <row r="1" spans="1:16" s="21" customFormat="1" ht="15">
      <c r="A1" s="19" t="s">
        <v>3</v>
      </c>
      <c r="B1" s="22" t="s">
        <v>23</v>
      </c>
      <c r="C1" s="22" t="s">
        <v>24</v>
      </c>
      <c r="D1" s="22" t="s">
        <v>25</v>
      </c>
      <c r="E1" s="22" t="s">
        <v>26</v>
      </c>
      <c r="F1" s="22" t="s">
        <v>27</v>
      </c>
      <c r="G1" s="22" t="s">
        <v>28</v>
      </c>
      <c r="H1" s="22" t="s">
        <v>29</v>
      </c>
      <c r="I1" s="22" t="s">
        <v>30</v>
      </c>
      <c r="J1" s="22" t="s">
        <v>31</v>
      </c>
      <c r="K1" s="22" t="s">
        <v>4</v>
      </c>
      <c r="L1" s="22" t="s">
        <v>32</v>
      </c>
      <c r="M1" s="22" t="s">
        <v>33</v>
      </c>
      <c r="N1" s="22" t="s">
        <v>34</v>
      </c>
      <c r="O1" s="22" t="s">
        <v>35</v>
      </c>
      <c r="P1" s="20" t="s">
        <v>36</v>
      </c>
    </row>
    <row r="2" spans="1:16" ht="85.5">
      <c r="A2" s="6" t="s">
        <v>7</v>
      </c>
      <c r="B2" s="7" t="s">
        <v>37</v>
      </c>
      <c r="C2" s="7" t="s">
        <v>38</v>
      </c>
      <c r="D2" s="7" t="s">
        <v>9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8</v>
      </c>
      <c r="L2" s="7" t="s">
        <v>8</v>
      </c>
      <c r="M2" s="7" t="s">
        <v>45</v>
      </c>
      <c r="N2" s="7" t="s">
        <v>46</v>
      </c>
      <c r="O2" s="7" t="s">
        <v>47</v>
      </c>
      <c r="P2" s="8" t="s">
        <v>48</v>
      </c>
    </row>
    <row r="3" spans="1:16" ht="42.75">
      <c r="A3" s="6" t="s">
        <v>11</v>
      </c>
      <c r="B3" s="7" t="s">
        <v>49</v>
      </c>
      <c r="C3" s="7" t="s">
        <v>50</v>
      </c>
      <c r="D3" s="7" t="s">
        <v>12</v>
      </c>
      <c r="E3" s="7" t="s">
        <v>51</v>
      </c>
      <c r="F3" s="7" t="s">
        <v>40</v>
      </c>
      <c r="G3" s="7" t="s">
        <v>52</v>
      </c>
      <c r="H3" s="7" t="s">
        <v>53</v>
      </c>
      <c r="I3" s="7" t="s">
        <v>54</v>
      </c>
      <c r="J3" s="7" t="s">
        <v>55</v>
      </c>
      <c r="K3" s="7" t="s">
        <v>8</v>
      </c>
      <c r="L3" s="7" t="s">
        <v>8</v>
      </c>
      <c r="M3" s="7" t="s">
        <v>45</v>
      </c>
      <c r="N3" s="7" t="s">
        <v>46</v>
      </c>
      <c r="O3" s="7" t="s">
        <v>56</v>
      </c>
      <c r="P3" s="8" t="s">
        <v>48</v>
      </c>
    </row>
    <row r="4" spans="1:16" ht="57">
      <c r="A4" s="9" t="s">
        <v>14</v>
      </c>
      <c r="B4" s="10" t="s">
        <v>57</v>
      </c>
      <c r="C4" s="10" t="s">
        <v>58</v>
      </c>
      <c r="D4" s="10" t="s">
        <v>16</v>
      </c>
      <c r="E4" s="10" t="s">
        <v>59</v>
      </c>
      <c r="F4" s="10" t="s">
        <v>40</v>
      </c>
      <c r="G4" s="10" t="s">
        <v>60</v>
      </c>
      <c r="H4" s="10" t="s">
        <v>61</v>
      </c>
      <c r="I4" s="10" t="s">
        <v>62</v>
      </c>
      <c r="J4" s="10" t="s">
        <v>63</v>
      </c>
      <c r="K4" s="10" t="s">
        <v>15</v>
      </c>
      <c r="L4" s="10" t="s">
        <v>8</v>
      </c>
      <c r="M4" s="10" t="s">
        <v>45</v>
      </c>
      <c r="N4" s="10" t="s">
        <v>46</v>
      </c>
      <c r="O4" s="10" t="s">
        <v>64</v>
      </c>
      <c r="P4" s="11" t="s">
        <v>48</v>
      </c>
    </row>
    <row r="5" spans="1:1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</sheetData>
  <conditionalFormatting sqref="K2:K100">
    <cfRule type="expression" dxfId="1" priority="1">
      <formula>K2="High"</formula>
    </cfRule>
    <cfRule type="expression" dxfId="0" priority="2">
      <formula>K2="Medium"</formula>
    </cfRule>
  </conditionalFormatting>
  <dataValidations count="2">
    <dataValidation type="list" sqref="K2:L100" xr:uid="{00000000-0002-0000-0100-000000000000}">
      <formula1>"Critical,High,Medium,Low"</formula1>
    </dataValidation>
    <dataValidation type="list" sqref="M2:M100" xr:uid="{00000000-0002-0000-0100-000002000000}">
      <formula1>"Draft,New,Open,In Progress,Resolved,Closed,Rejected,Confirmed"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B11" sqref="B11"/>
    </sheetView>
  </sheetViews>
  <sheetFormatPr defaultRowHeight="14.25"/>
  <cols>
    <col min="1" max="1" width="18" customWidth="1"/>
    <col min="2" max="2" width="44" customWidth="1"/>
    <col min="3" max="3" width="28" customWidth="1"/>
    <col min="4" max="4" width="16" customWidth="1"/>
    <col min="5" max="5" width="18" customWidth="1"/>
    <col min="6" max="6" width="55" customWidth="1"/>
    <col min="7" max="7" width="48" customWidth="1"/>
  </cols>
  <sheetData>
    <row r="1" spans="1:7" s="21" customFormat="1" ht="30">
      <c r="A1" s="19" t="s">
        <v>65</v>
      </c>
      <c r="B1" s="22" t="s">
        <v>66</v>
      </c>
      <c r="C1" s="22" t="s">
        <v>67</v>
      </c>
      <c r="D1" s="22" t="s">
        <v>68</v>
      </c>
      <c r="E1" s="22" t="s">
        <v>69</v>
      </c>
      <c r="F1" s="22" t="s">
        <v>31</v>
      </c>
      <c r="G1" s="20" t="s">
        <v>36</v>
      </c>
    </row>
    <row r="2" spans="1:7">
      <c r="A2" s="1" t="s">
        <v>70</v>
      </c>
      <c r="B2" t="s">
        <v>71</v>
      </c>
      <c r="C2" t="s">
        <v>9</v>
      </c>
      <c r="D2" t="s">
        <v>72</v>
      </c>
      <c r="E2" t="s">
        <v>7</v>
      </c>
      <c r="F2" t="s">
        <v>73</v>
      </c>
      <c r="G2" s="2" t="s">
        <v>74</v>
      </c>
    </row>
    <row r="3" spans="1:7">
      <c r="A3" s="1" t="s">
        <v>75</v>
      </c>
      <c r="B3" t="s">
        <v>76</v>
      </c>
      <c r="C3" t="s">
        <v>77</v>
      </c>
      <c r="D3" t="s">
        <v>78</v>
      </c>
      <c r="F3" t="s">
        <v>79</v>
      </c>
      <c r="G3" s="2" t="s">
        <v>80</v>
      </c>
    </row>
    <row r="4" spans="1:7">
      <c r="A4" s="3" t="s">
        <v>81</v>
      </c>
      <c r="B4" s="5" t="s">
        <v>82</v>
      </c>
      <c r="C4" s="5" t="s">
        <v>83</v>
      </c>
      <c r="D4" s="5" t="s">
        <v>78</v>
      </c>
      <c r="E4" s="5"/>
      <c r="F4" s="5" t="s">
        <v>84</v>
      </c>
      <c r="G4" s="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Defect_Reports</vt:lpstr>
      <vt:lpstr>Draft_History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Dhruba Aryal</cp:lastModifiedBy>
  <dcterms:modified xsi:type="dcterms:W3CDTF">2026-07-30T23:32:48Z</dcterms:modified>
</cp:coreProperties>
</file>