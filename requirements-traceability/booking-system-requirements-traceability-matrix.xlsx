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eer-Reentry-Portfolio\Day-5-Postman-API-Testing\day5-finalization-pack\requirements-traceability\"/>
    </mc:Choice>
  </mc:AlternateContent>
  <xr:revisionPtr revIDLastSave="0" documentId="13_ncr:1_{31AB3309-7BB0-458E-88D4-C1991153708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mmary" sheetId="1" r:id="rId1"/>
    <sheet name="Traceability_Matrix" sheetId="2" r:id="rId2"/>
    <sheet name="Status_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<sst xmlns="http://schemas.openxmlformats.org/spreadsheetml/2006/main" count="291" uniqueCount="183">
  <si>
    <t>Requirements Traceability Summary</t>
  </si>
  <si>
    <t>Metric</t>
  </si>
  <si>
    <t>Value</t>
  </si>
  <si>
    <t>Day 5 Functional Status</t>
  </si>
  <si>
    <t>Count</t>
  </si>
  <si>
    <t>Notes</t>
  </si>
  <si>
    <t>Requirements</t>
  </si>
  <si>
    <t>API test cases</t>
  </si>
  <si>
    <t>All executed</t>
  </si>
  <si>
    <t>Covered</t>
  </si>
  <si>
    <t>Passed</t>
  </si>
  <si>
    <t>Partially Covered</t>
  </si>
  <si>
    <t>Failed</t>
  </si>
  <si>
    <t>Linked to 3 confirmed defects</t>
  </si>
  <si>
    <t>Planned</t>
  </si>
  <si>
    <t>Blocked</t>
  </si>
  <si>
    <t>Not Run</t>
  </si>
  <si>
    <t>Confirmed defects</t>
  </si>
  <si>
    <t>DEF-API-001 through DEF-API-003</t>
  </si>
  <si>
    <t>Requirement ID</t>
  </si>
  <si>
    <t>Category</t>
  </si>
  <si>
    <t>Requirement Summary</t>
  </si>
  <si>
    <t>Linked Test Case IDs</t>
  </si>
  <si>
    <t>Coverage Status</t>
  </si>
  <si>
    <t>Execution Status</t>
  </si>
  <si>
    <t>Related Defect IDs</t>
  </si>
  <si>
    <t>Comments</t>
  </si>
  <si>
    <t>AUTH-001</t>
  </si>
  <si>
    <t>Authentication</t>
  </si>
  <si>
    <t>Valid credentials return a usable token.</t>
  </si>
  <si>
    <t>TC-AUTH-001</t>
  </si>
  <si>
    <t>Pass</t>
  </si>
  <si>
    <t>Valid authentication returned HTTP 200 and a usable token.</t>
  </si>
  <si>
    <t>AUTH-002</t>
  </si>
  <si>
    <t>Invalid password does not return a token.</t>
  </si>
  <si>
    <t>TC-AUTH-002</t>
  </si>
  <si>
    <t>Invalid password returned the demonstration API bad-credentials response and no token.</t>
  </si>
  <si>
    <t>AUTH-003</t>
  </si>
  <si>
    <t>Missing username is rejected.</t>
  </si>
  <si>
    <t>TC-AUTH-003</t>
  </si>
  <si>
    <t>Missing username returned the expected bad-credentials response and no token.</t>
  </si>
  <si>
    <t>AUTH-004</t>
  </si>
  <si>
    <t>Missing password is rejected.</t>
  </si>
  <si>
    <t>TC-AUTH-004</t>
  </si>
  <si>
    <t>Missing password returned the expected bad-credentials response and no token.</t>
  </si>
  <si>
    <t>AUTH-005</t>
  </si>
  <si>
    <t>Blank credentials are rejected.</t>
  </si>
  <si>
    <t>TC-AUTH-005</t>
  </si>
  <si>
    <t>Blank credentials returned the expected bad-credentials response and no token.</t>
  </si>
  <si>
    <t>BOOK-001</t>
  </si>
  <si>
    <t>Booking Creation</t>
  </si>
  <si>
    <t>First name and last name are required.</t>
  </si>
  <si>
    <t>TC-BOOK-002; TC-BOOK-006</t>
  </si>
  <si>
    <t>Fail</t>
  </si>
  <si>
    <t>DEF-API-003</t>
  </si>
  <si>
    <t>The API rejected missing-name requests but returned HTTP 500 instead of a clear client-validation response.</t>
  </si>
  <si>
    <t>BOOK-002</t>
  </si>
  <si>
    <t>Booking dates are required.</t>
  </si>
  <si>
    <t>TC-BOOK-003</t>
  </si>
  <si>
    <t>The API rejected the request missing booking dates but returned HTTP 500 instead of a clear client-validation response.</t>
  </si>
  <si>
    <t>BOOK-003</t>
  </si>
  <si>
    <t>Booking Validation</t>
  </si>
  <si>
    <t>Checkout must occur after check-in.</t>
  </si>
  <si>
    <t>TC-BOOK-004; TC-UPD-005</t>
  </si>
  <si>
    <t>DEF-API-001</t>
  </si>
  <si>
    <t>The API accepted checkout dates earlier than check-in during creation and authenticated update.</t>
  </si>
  <si>
    <t>BOOK-004</t>
  </si>
  <si>
    <t>Total price must be greater than zero.</t>
  </si>
  <si>
    <t>TC-BOOK-005; TC-VAL-001; TC-VAL-002</t>
  </si>
  <si>
    <t>DEF-API-002</t>
  </si>
  <si>
    <t>The API accepted the valid minimum price, but also accepted zero and negative prices.</t>
  </si>
  <si>
    <t>BOOK-005</t>
  </si>
  <si>
    <t>A valid booking can be created.</t>
  </si>
  <si>
    <t>TC-BOOK-001</t>
  </si>
  <si>
    <t>Valid booking creation returned HTTP 200 and a booking ID.</t>
  </si>
  <si>
    <t>BOOK-006</t>
  </si>
  <si>
    <t>Deposit status is stored accurately.</t>
  </si>
  <si>
    <t>The returned deposit flag matched the submitted value.</t>
  </si>
  <si>
    <t>BOOK-007</t>
  </si>
  <si>
    <t>Additional needs are stored accurately.</t>
  </si>
  <si>
    <t>TC-BOOK-001; TC-UPD-004</t>
  </si>
  <si>
    <t>Additional-needs values were created and partially updated successfully.</t>
  </si>
  <si>
    <t>BOOK-008</t>
  </si>
  <si>
    <t>Create response contains a booking ID and submitted booking data.</t>
  </si>
  <si>
    <t>The create response returned a numeric booking ID and matching booking data.</t>
  </si>
  <si>
    <t>RET-001</t>
  </si>
  <si>
    <t>Booking Retrieval</t>
  </si>
  <si>
    <t>An existing booking can be retrieved.</t>
  </si>
  <si>
    <t>TC-RET-001</t>
  </si>
  <si>
    <t>Existing booking retrieval returned HTTP 200 and matching data.</t>
  </si>
  <si>
    <t>RET-002</t>
  </si>
  <si>
    <t>A nonexistent booking returns a not-found response.</t>
  </si>
  <si>
    <t>TC-RET-002</t>
  </si>
  <si>
    <t>A nonexistent booking returned HTTP 404.</t>
  </si>
  <si>
    <t>RET-003</t>
  </si>
  <si>
    <t>Bookings can be searched by customer name.</t>
  </si>
  <si>
    <t>TC-RET-003</t>
  </si>
  <si>
    <t>Search returned an array containing the created booking ID.</t>
  </si>
  <si>
    <t>UPD-001</t>
  </si>
  <si>
    <t>Booking Update</t>
  </si>
  <si>
    <t>An authenticated full update succeeds.</t>
  </si>
  <si>
    <t>TC-UPD-001</t>
  </si>
  <si>
    <t>The full update returned HTTP 200 and accurate updated data.</t>
  </si>
  <si>
    <t>UPD-002</t>
  </si>
  <si>
    <t>An authenticated partial update succeeds.</t>
  </si>
  <si>
    <t>TC-UPD-004</t>
  </si>
  <si>
    <t>The selected field changed and unrelated fields remained unchanged.</t>
  </si>
  <si>
    <t>UPD-003</t>
  </si>
  <si>
    <t>Authorization</t>
  </si>
  <si>
    <t>An unauthenticated update is rejected.</t>
  </si>
  <si>
    <t>TC-UPD-002</t>
  </si>
  <si>
    <t>The API returned HTTP 403 and rejected the update.</t>
  </si>
  <si>
    <t>UPD-004</t>
  </si>
  <si>
    <t>Updating a nonexistent booking is unsuccessful.</t>
  </si>
  <si>
    <t>TC-UPD-003</t>
  </si>
  <si>
    <t>The API returned HTTP 405. The Day 5 baseline accepted HTTP 404 or 405.</t>
  </si>
  <si>
    <t>DEL-001</t>
  </si>
  <si>
    <t>Booking Deletion</t>
  </si>
  <si>
    <t>An authenticated deletion succeeds.</t>
  </si>
  <si>
    <t>TC-DEL-001</t>
  </si>
  <si>
    <t>The API returned HTTP 201 for authorized deletion.</t>
  </si>
  <si>
    <t>DEL-002</t>
  </si>
  <si>
    <t>A deleted booking is no longer retrievable.</t>
  </si>
  <si>
    <t>TC-DEL-002</t>
  </si>
  <si>
    <t>The deleted booking returned HTTP 404.</t>
  </si>
  <si>
    <t>DEL-003</t>
  </si>
  <si>
    <t>An unauthenticated deletion is rejected.</t>
  </si>
  <si>
    <t>TC-DEL-003</t>
  </si>
  <si>
    <t>The API returned HTTP 403 and rejected the deletion.</t>
  </si>
  <si>
    <t>DEL-004</t>
  </si>
  <si>
    <t>Deleting a nonexistent booking is unsuccessful.</t>
  </si>
  <si>
    <t>TC-DEL-004</t>
  </si>
  <si>
    <t>DATA-001</t>
  </si>
  <si>
    <t>Database</t>
  </si>
  <si>
    <t>Local booking data can be stored and validated.</t>
  </si>
  <si>
    <t>SQL-VAL-01; SQL-VAL-02</t>
  </si>
  <si>
    <t>Local schema population and stored records were validated; direct API persistence remains pending.</t>
  </si>
  <si>
    <t>DATA-002</t>
  </si>
  <si>
    <t>API response values can be compared directly with database records.</t>
  </si>
  <si>
    <t>Planned for authorized API-to-database testing</t>
  </si>
  <si>
    <t>The public API does not provide authorized access to its underlying database.</t>
  </si>
  <si>
    <t>DATA-003</t>
  </si>
  <si>
    <t>Booking identifiers are unique.</t>
  </si>
  <si>
    <t>SQL-VAL-05</t>
  </si>
  <si>
    <t>No duplicate booking identifier groups were detected in the local portfolio database.</t>
  </si>
  <si>
    <t>DATA-004</t>
  </si>
  <si>
    <t>Bookings reference valid customers.</t>
  </si>
  <si>
    <t>SQL-VAL-10; SQL-CON-04</t>
  </si>
  <si>
    <t>No orphan bookings were detected and the foreign-key constraint rejected an unknown customer.</t>
  </si>
  <si>
    <t>DATA-005</t>
  </si>
  <si>
    <t>Required database fields are enforced.</t>
  </si>
  <si>
    <t>SQL-VAL-07; SQL-CON-01; SQL-CON-03</t>
  </si>
  <si>
    <t>Required fields were validated and invalid records were rejected by constraints.</t>
  </si>
  <si>
    <t>DATA-006</t>
  </si>
  <si>
    <t>Booking date integrity is enforced.</t>
  </si>
  <si>
    <t>SQL-VAL-08; SQL-VAL-14; SQL-CON-05</t>
  </si>
  <si>
    <t>Local production dates were valid and invalid staging or inserted dates were detected or rejected.</t>
  </si>
  <si>
    <t>DATA-007</t>
  </si>
  <si>
    <t>Booking prices must be positive.</t>
  </si>
  <si>
    <t>SQL-VAL-09; SQL-VAL-15; SQL-CON-06</t>
  </si>
  <si>
    <t>Local production prices were positive and invalid staging or inserted values were detected or rejected.</t>
  </si>
  <si>
    <t>DATA-008</t>
  </si>
  <si>
    <t>Database state is verified after API deletion.</t>
  </si>
  <si>
    <t>Planned for API deletion and database verification</t>
  </si>
  <si>
    <t>The local PostgreSQL database is not connected to the public API.</t>
  </si>
  <si>
    <t>NFR-001</t>
  </si>
  <si>
    <t>Performance</t>
  </si>
  <si>
    <t>Configured API requests complete within 2000 ms.</t>
  </si>
  <si>
    <t>HEALTH-001; TC-AUTH-001; TC-BOOK-001; TC-RET-001; TC-UPD-001; TC-DEL-001</t>
  </si>
  <si>
    <t>All configured response-time assertions passed. Final collection average response time was 36 ms.</t>
  </si>
  <si>
    <t>NFR-002</t>
  </si>
  <si>
    <t>Error Handling</t>
  </si>
  <si>
    <t>Invalid requests return clear client-validation responses.</t>
  </si>
  <si>
    <t>TC-BOOK-002; TC-BOOK-003; TC-BOOK-004; TC-BOOK-005; TC-BOOK-006; TC-VAL-002; TC-UPD-005</t>
  </si>
  <si>
    <t>DEF-API-001; DEF-API-002; DEF-API-003</t>
  </si>
  <si>
    <t>The API accepted invalid business-rule data and returned HTTP 500 for missing required fields.</t>
  </si>
  <si>
    <t>NFR-003</t>
  </si>
  <si>
    <t>Security</t>
  </si>
  <si>
    <t>Public portfolio assets do not expose active credentials or tokens.</t>
  </si>
  <si>
    <t>Repository security review; sanitized Postman exports</t>
  </si>
  <si>
    <t>Public-safe collection, environment, and runner-result files were created with secrets and dynamic values removed or redacted.</t>
  </si>
  <si>
    <t>Not Covered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</si>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</sst>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666666"/>
      </font>
      <fill>
        <patternFill patternType="solid">
          <bgColor rgb="FFE7E6E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D15" sqref="D15"/>
    </sheetView>
  </sheetViews>
  <sheetFormatPr defaultRowHeight="14.25"/>
  <cols>
    <col min="4" max="4" width="25.875" customWidth="1"/>
  </cols>
  <sheetData>
    <row r="1" spans="1:6" ht="15.75">
      <c r="A1" s="12" t="s">
        <v>0</v>
      </c>
      <c r="B1" s="12"/>
      <c r="C1" s="12"/>
      <c r="D1" s="12"/>
      <c r="E1" s="12"/>
      <c r="F1" s="12"/>
    </row>
    <row r="3" spans="1:6" ht="21" customHeight="1">
      <c r="A3" s="13" t="s">
        <v>1</v>
      </c>
      <c r="B3" s="14" t="s">
        <v>2</v>
      </c>
      <c r="C3" s="15"/>
      <c r="D3" s="16" t="s">
        <v>3</v>
      </c>
      <c r="E3" s="17" t="s">
        <v>4</v>
      </c>
      <c r="F3" s="14" t="s">
        <v>5</v>
      </c>
    </row>
    <row r="4" spans="1:6">
      <c r="A4" s="1" t="s">
        <v>6</v>
      </c>
      <c r="B4" s="2">
        <v>35</v>
      </c>
      <c r="D4" s="1" t="s">
        <v>7</v>
      </c>
      <c r="E4">
        <v>25</v>
      </c>
      <c r="F4" s="2" t="s">
        <v>8</v>
      </c>
    </row>
    <row r="5" spans="1:6">
      <c r="A5" s="1" t="s">
        <v>9</v>
      </c>
      <c r="B5" s="2">
        <f>COUNTIF(Traceability_Matrix!E2:E100,"Covered")</f>
        <v>30</v>
      </c>
      <c r="D5" s="1" t="s">
        <v>10</v>
      </c>
      <c r="E5">
        <v>18</v>
      </c>
      <c r="F5" s="2"/>
    </row>
    <row r="6" spans="1:6">
      <c r="A6" s="1" t="s">
        <v>11</v>
      </c>
      <c r="B6" s="2">
        <f>COUNTIF(Traceability_Matrix!E2:E100,"Partially Covered")</f>
        <v>3</v>
      </c>
      <c r="D6" s="1" t="s">
        <v>12</v>
      </c>
      <c r="E6">
        <v>7</v>
      </c>
      <c r="F6" s="2" t="s">
        <v>13</v>
      </c>
    </row>
    <row r="7" spans="1:6">
      <c r="A7" s="1" t="s">
        <v>14</v>
      </c>
      <c r="B7" s="2">
        <f>COUNTIF(Traceability_Matrix!E2:E100,"Planned")</f>
        <v>2</v>
      </c>
      <c r="D7" s="1" t="s">
        <v>15</v>
      </c>
      <c r="E7">
        <v>0</v>
      </c>
      <c r="F7" s="2"/>
    </row>
    <row r="8" spans="1:6">
      <c r="A8" s="1" t="s">
        <v>10</v>
      </c>
      <c r="B8" s="2">
        <f>COUNTIF(Traceability_Matrix!F2:F100,"Pass")</f>
        <v>28</v>
      </c>
      <c r="D8" s="1" t="s">
        <v>16</v>
      </c>
      <c r="E8">
        <v>0</v>
      </c>
      <c r="F8" s="2"/>
    </row>
    <row r="9" spans="1:6">
      <c r="A9" s="1" t="s">
        <v>12</v>
      </c>
      <c r="B9" s="2">
        <f>COUNTIF(Traceability_Matrix!F2:F100,"Fail")</f>
        <v>5</v>
      </c>
      <c r="D9" s="3" t="s">
        <v>17</v>
      </c>
      <c r="E9" s="5">
        <v>3</v>
      </c>
      <c r="F9" s="4" t="s">
        <v>18</v>
      </c>
    </row>
    <row r="10" spans="1:6">
      <c r="A10" s="3" t="s">
        <v>16</v>
      </c>
      <c r="B10" s="4">
        <f>COUNTIF(Traceability_Matrix!F2:F100,"Not Run")</f>
        <v>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opLeftCell="A15" workbookViewId="0">
      <selection activeCell="J6" sqref="J6"/>
    </sheetView>
  </sheetViews>
  <sheetFormatPr defaultRowHeight="14.25"/>
  <cols>
    <col min="1" max="1" width="16" customWidth="1"/>
    <col min="2" max="2" width="22" customWidth="1"/>
    <col min="3" max="3" width="52" customWidth="1"/>
    <col min="4" max="4" width="42" customWidth="1"/>
    <col min="5" max="5" width="20" customWidth="1"/>
    <col min="6" max="6" width="18" customWidth="1"/>
    <col min="7" max="7" width="30" customWidth="1"/>
    <col min="8" max="8" width="65" customWidth="1"/>
  </cols>
  <sheetData>
    <row r="1" spans="1:8" s="15" customFormat="1" ht="15">
      <c r="A1" s="16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25</v>
      </c>
      <c r="H1" s="14" t="s">
        <v>26</v>
      </c>
    </row>
    <row r="2" spans="1:8">
      <c r="A2" s="6" t="s">
        <v>27</v>
      </c>
      <c r="B2" s="7" t="s">
        <v>28</v>
      </c>
      <c r="C2" s="7" t="s">
        <v>29</v>
      </c>
      <c r="D2" s="7" t="s">
        <v>30</v>
      </c>
      <c r="E2" s="7" t="s">
        <v>9</v>
      </c>
      <c r="F2" s="7" t="s">
        <v>31</v>
      </c>
      <c r="G2" s="7"/>
      <c r="H2" s="8" t="s">
        <v>32</v>
      </c>
    </row>
    <row r="3" spans="1:8" ht="28.5">
      <c r="A3" s="6" t="s">
        <v>33</v>
      </c>
      <c r="B3" s="7" t="s">
        <v>28</v>
      </c>
      <c r="C3" s="7" t="s">
        <v>34</v>
      </c>
      <c r="D3" s="7" t="s">
        <v>35</v>
      </c>
      <c r="E3" s="7" t="s">
        <v>9</v>
      </c>
      <c r="F3" s="7" t="s">
        <v>31</v>
      </c>
      <c r="G3" s="7"/>
      <c r="H3" s="8" t="s">
        <v>36</v>
      </c>
    </row>
    <row r="4" spans="1:8" ht="28.5">
      <c r="A4" s="6" t="s">
        <v>37</v>
      </c>
      <c r="B4" s="7" t="s">
        <v>28</v>
      </c>
      <c r="C4" s="7" t="s">
        <v>38</v>
      </c>
      <c r="D4" s="7" t="s">
        <v>39</v>
      </c>
      <c r="E4" s="7" t="s">
        <v>9</v>
      </c>
      <c r="F4" s="7" t="s">
        <v>31</v>
      </c>
      <c r="G4" s="7"/>
      <c r="H4" s="8" t="s">
        <v>40</v>
      </c>
    </row>
    <row r="5" spans="1:8" ht="28.5">
      <c r="A5" s="6" t="s">
        <v>41</v>
      </c>
      <c r="B5" s="7" t="s">
        <v>28</v>
      </c>
      <c r="C5" s="7" t="s">
        <v>42</v>
      </c>
      <c r="D5" s="7" t="s">
        <v>43</v>
      </c>
      <c r="E5" s="7" t="s">
        <v>9</v>
      </c>
      <c r="F5" s="7" t="s">
        <v>31</v>
      </c>
      <c r="G5" s="7"/>
      <c r="H5" s="8" t="s">
        <v>44</v>
      </c>
    </row>
    <row r="6" spans="1:8" ht="28.5">
      <c r="A6" s="6" t="s">
        <v>45</v>
      </c>
      <c r="B6" s="7" t="s">
        <v>28</v>
      </c>
      <c r="C6" s="7" t="s">
        <v>46</v>
      </c>
      <c r="D6" s="7" t="s">
        <v>47</v>
      </c>
      <c r="E6" s="7" t="s">
        <v>9</v>
      </c>
      <c r="F6" s="7" t="s">
        <v>31</v>
      </c>
      <c r="G6" s="7"/>
      <c r="H6" s="8" t="s">
        <v>48</v>
      </c>
    </row>
    <row r="7" spans="1:8" ht="28.5">
      <c r="A7" s="6" t="s">
        <v>49</v>
      </c>
      <c r="B7" s="7" t="s">
        <v>50</v>
      </c>
      <c r="C7" s="7" t="s">
        <v>51</v>
      </c>
      <c r="D7" s="7" t="s">
        <v>52</v>
      </c>
      <c r="E7" s="7" t="s">
        <v>9</v>
      </c>
      <c r="F7" s="7" t="s">
        <v>53</v>
      </c>
      <c r="G7" s="7" t="s">
        <v>54</v>
      </c>
      <c r="H7" s="8" t="s">
        <v>55</v>
      </c>
    </row>
    <row r="8" spans="1:8" ht="28.5">
      <c r="A8" s="6" t="s">
        <v>56</v>
      </c>
      <c r="B8" s="7" t="s">
        <v>50</v>
      </c>
      <c r="C8" s="7" t="s">
        <v>57</v>
      </c>
      <c r="D8" s="7" t="s">
        <v>58</v>
      </c>
      <c r="E8" s="7" t="s">
        <v>9</v>
      </c>
      <c r="F8" s="7" t="s">
        <v>53</v>
      </c>
      <c r="G8" s="7" t="s">
        <v>54</v>
      </c>
      <c r="H8" s="8" t="s">
        <v>59</v>
      </c>
    </row>
    <row r="9" spans="1:8" ht="28.5">
      <c r="A9" s="6" t="s">
        <v>60</v>
      </c>
      <c r="B9" s="7" t="s">
        <v>61</v>
      </c>
      <c r="C9" s="7" t="s">
        <v>62</v>
      </c>
      <c r="D9" s="7" t="s">
        <v>63</v>
      </c>
      <c r="E9" s="7" t="s">
        <v>9</v>
      </c>
      <c r="F9" s="7" t="s">
        <v>53</v>
      </c>
      <c r="G9" s="7" t="s">
        <v>64</v>
      </c>
      <c r="H9" s="8" t="s">
        <v>65</v>
      </c>
    </row>
    <row r="10" spans="1:8" ht="28.5">
      <c r="A10" s="6" t="s">
        <v>66</v>
      </c>
      <c r="B10" s="7" t="s">
        <v>61</v>
      </c>
      <c r="C10" s="7" t="s">
        <v>67</v>
      </c>
      <c r="D10" s="7" t="s">
        <v>68</v>
      </c>
      <c r="E10" s="7" t="s">
        <v>9</v>
      </c>
      <c r="F10" s="7" t="s">
        <v>53</v>
      </c>
      <c r="G10" s="7" t="s">
        <v>69</v>
      </c>
      <c r="H10" s="8" t="s">
        <v>70</v>
      </c>
    </row>
    <row r="11" spans="1:8">
      <c r="A11" s="6" t="s">
        <v>71</v>
      </c>
      <c r="B11" s="7" t="s">
        <v>50</v>
      </c>
      <c r="C11" s="7" t="s">
        <v>72</v>
      </c>
      <c r="D11" s="7" t="s">
        <v>73</v>
      </c>
      <c r="E11" s="7" t="s">
        <v>9</v>
      </c>
      <c r="F11" s="7" t="s">
        <v>31</v>
      </c>
      <c r="G11" s="7"/>
      <c r="H11" s="8" t="s">
        <v>74</v>
      </c>
    </row>
    <row r="12" spans="1:8">
      <c r="A12" s="6" t="s">
        <v>75</v>
      </c>
      <c r="B12" s="7" t="s">
        <v>50</v>
      </c>
      <c r="C12" s="7" t="s">
        <v>76</v>
      </c>
      <c r="D12" s="7" t="s">
        <v>73</v>
      </c>
      <c r="E12" s="7" t="s">
        <v>9</v>
      </c>
      <c r="F12" s="7" t="s">
        <v>31</v>
      </c>
      <c r="G12" s="7"/>
      <c r="H12" s="8" t="s">
        <v>77</v>
      </c>
    </row>
    <row r="13" spans="1:8">
      <c r="A13" s="6" t="s">
        <v>78</v>
      </c>
      <c r="B13" s="7" t="s">
        <v>50</v>
      </c>
      <c r="C13" s="7" t="s">
        <v>79</v>
      </c>
      <c r="D13" s="7" t="s">
        <v>80</v>
      </c>
      <c r="E13" s="7" t="s">
        <v>9</v>
      </c>
      <c r="F13" s="7" t="s">
        <v>31</v>
      </c>
      <c r="G13" s="7"/>
      <c r="H13" s="8" t="s">
        <v>81</v>
      </c>
    </row>
    <row r="14" spans="1:8" ht="28.5">
      <c r="A14" s="6" t="s">
        <v>82</v>
      </c>
      <c r="B14" s="7" t="s">
        <v>50</v>
      </c>
      <c r="C14" s="7" t="s">
        <v>83</v>
      </c>
      <c r="D14" s="7" t="s">
        <v>73</v>
      </c>
      <c r="E14" s="7" t="s">
        <v>9</v>
      </c>
      <c r="F14" s="7" t="s">
        <v>31</v>
      </c>
      <c r="G14" s="7"/>
      <c r="H14" s="8" t="s">
        <v>84</v>
      </c>
    </row>
    <row r="15" spans="1:8">
      <c r="A15" s="6" t="s">
        <v>85</v>
      </c>
      <c r="B15" s="7" t="s">
        <v>86</v>
      </c>
      <c r="C15" s="7" t="s">
        <v>87</v>
      </c>
      <c r="D15" s="7" t="s">
        <v>88</v>
      </c>
      <c r="E15" s="7" t="s">
        <v>9</v>
      </c>
      <c r="F15" s="7" t="s">
        <v>31</v>
      </c>
      <c r="G15" s="7"/>
      <c r="H15" s="8" t="s">
        <v>89</v>
      </c>
    </row>
    <row r="16" spans="1:8">
      <c r="A16" s="6" t="s">
        <v>90</v>
      </c>
      <c r="B16" s="7" t="s">
        <v>86</v>
      </c>
      <c r="C16" s="7" t="s">
        <v>91</v>
      </c>
      <c r="D16" s="7" t="s">
        <v>92</v>
      </c>
      <c r="E16" s="7" t="s">
        <v>9</v>
      </c>
      <c r="F16" s="7" t="s">
        <v>31</v>
      </c>
      <c r="G16" s="7"/>
      <c r="H16" s="8" t="s">
        <v>93</v>
      </c>
    </row>
    <row r="17" spans="1:8">
      <c r="A17" s="6" t="s">
        <v>94</v>
      </c>
      <c r="B17" s="7" t="s">
        <v>86</v>
      </c>
      <c r="C17" s="7" t="s">
        <v>95</v>
      </c>
      <c r="D17" s="7" t="s">
        <v>96</v>
      </c>
      <c r="E17" s="7" t="s">
        <v>9</v>
      </c>
      <c r="F17" s="7" t="s">
        <v>31</v>
      </c>
      <c r="G17" s="7"/>
      <c r="H17" s="8" t="s">
        <v>97</v>
      </c>
    </row>
    <row r="18" spans="1:8">
      <c r="A18" s="6" t="s">
        <v>98</v>
      </c>
      <c r="B18" s="7" t="s">
        <v>99</v>
      </c>
      <c r="C18" s="7" t="s">
        <v>100</v>
      </c>
      <c r="D18" s="7" t="s">
        <v>101</v>
      </c>
      <c r="E18" s="7" t="s">
        <v>9</v>
      </c>
      <c r="F18" s="7" t="s">
        <v>31</v>
      </c>
      <c r="G18" s="7"/>
      <c r="H18" s="8" t="s">
        <v>102</v>
      </c>
    </row>
    <row r="19" spans="1:8">
      <c r="A19" s="6" t="s">
        <v>103</v>
      </c>
      <c r="B19" s="7" t="s">
        <v>99</v>
      </c>
      <c r="C19" s="7" t="s">
        <v>104</v>
      </c>
      <c r="D19" s="7" t="s">
        <v>105</v>
      </c>
      <c r="E19" s="7" t="s">
        <v>9</v>
      </c>
      <c r="F19" s="7" t="s">
        <v>31</v>
      </c>
      <c r="G19" s="7"/>
      <c r="H19" s="8" t="s">
        <v>106</v>
      </c>
    </row>
    <row r="20" spans="1:8">
      <c r="A20" s="6" t="s">
        <v>107</v>
      </c>
      <c r="B20" s="7" t="s">
        <v>108</v>
      </c>
      <c r="C20" s="7" t="s">
        <v>109</v>
      </c>
      <c r="D20" s="7" t="s">
        <v>110</v>
      </c>
      <c r="E20" s="7" t="s">
        <v>9</v>
      </c>
      <c r="F20" s="7" t="s">
        <v>31</v>
      </c>
      <c r="G20" s="7"/>
      <c r="H20" s="8" t="s">
        <v>111</v>
      </c>
    </row>
    <row r="21" spans="1:8">
      <c r="A21" s="6" t="s">
        <v>112</v>
      </c>
      <c r="B21" s="7" t="s">
        <v>99</v>
      </c>
      <c r="C21" s="7" t="s">
        <v>113</v>
      </c>
      <c r="D21" s="7" t="s">
        <v>114</v>
      </c>
      <c r="E21" s="7" t="s">
        <v>9</v>
      </c>
      <c r="F21" s="7" t="s">
        <v>31</v>
      </c>
      <c r="G21" s="7"/>
      <c r="H21" s="8" t="s">
        <v>115</v>
      </c>
    </row>
    <row r="22" spans="1:8">
      <c r="A22" s="6" t="s">
        <v>116</v>
      </c>
      <c r="B22" s="7" t="s">
        <v>117</v>
      </c>
      <c r="C22" s="7" t="s">
        <v>118</v>
      </c>
      <c r="D22" s="7" t="s">
        <v>119</v>
      </c>
      <c r="E22" s="7" t="s">
        <v>9</v>
      </c>
      <c r="F22" s="7" t="s">
        <v>31</v>
      </c>
      <c r="G22" s="7"/>
      <c r="H22" s="8" t="s">
        <v>120</v>
      </c>
    </row>
    <row r="23" spans="1:8">
      <c r="A23" s="6" t="s">
        <v>121</v>
      </c>
      <c r="B23" s="7" t="s">
        <v>117</v>
      </c>
      <c r="C23" s="7" t="s">
        <v>122</v>
      </c>
      <c r="D23" s="7" t="s">
        <v>123</v>
      </c>
      <c r="E23" s="7" t="s">
        <v>9</v>
      </c>
      <c r="F23" s="7" t="s">
        <v>31</v>
      </c>
      <c r="G23" s="7"/>
      <c r="H23" s="8" t="s">
        <v>124</v>
      </c>
    </row>
    <row r="24" spans="1:8">
      <c r="A24" s="6" t="s">
        <v>125</v>
      </c>
      <c r="B24" s="7" t="s">
        <v>108</v>
      </c>
      <c r="C24" s="7" t="s">
        <v>126</v>
      </c>
      <c r="D24" s="7" t="s">
        <v>127</v>
      </c>
      <c r="E24" s="7" t="s">
        <v>9</v>
      </c>
      <c r="F24" s="7" t="s">
        <v>31</v>
      </c>
      <c r="G24" s="7"/>
      <c r="H24" s="8" t="s">
        <v>128</v>
      </c>
    </row>
    <row r="25" spans="1:8">
      <c r="A25" s="6" t="s">
        <v>129</v>
      </c>
      <c r="B25" s="7" t="s">
        <v>117</v>
      </c>
      <c r="C25" s="7" t="s">
        <v>130</v>
      </c>
      <c r="D25" s="7" t="s">
        <v>131</v>
      </c>
      <c r="E25" s="7" t="s">
        <v>9</v>
      </c>
      <c r="F25" s="7" t="s">
        <v>31</v>
      </c>
      <c r="G25" s="7"/>
      <c r="H25" s="8" t="s">
        <v>115</v>
      </c>
    </row>
    <row r="26" spans="1:8" ht="28.5">
      <c r="A26" s="6" t="s">
        <v>132</v>
      </c>
      <c r="B26" s="7" t="s">
        <v>133</v>
      </c>
      <c r="C26" s="7" t="s">
        <v>134</v>
      </c>
      <c r="D26" s="7" t="s">
        <v>135</v>
      </c>
      <c r="E26" s="7" t="s">
        <v>11</v>
      </c>
      <c r="F26" s="7" t="s">
        <v>31</v>
      </c>
      <c r="G26" s="7"/>
      <c r="H26" s="8" t="s">
        <v>136</v>
      </c>
    </row>
    <row r="27" spans="1:8" ht="28.5">
      <c r="A27" s="6" t="s">
        <v>137</v>
      </c>
      <c r="B27" s="7" t="s">
        <v>133</v>
      </c>
      <c r="C27" s="7" t="s">
        <v>138</v>
      </c>
      <c r="D27" s="7" t="s">
        <v>139</v>
      </c>
      <c r="E27" s="7" t="s">
        <v>14</v>
      </c>
      <c r="F27" s="7" t="s">
        <v>16</v>
      </c>
      <c r="G27" s="7"/>
      <c r="H27" s="8" t="s">
        <v>140</v>
      </c>
    </row>
    <row r="28" spans="1:8" ht="28.5">
      <c r="A28" s="6" t="s">
        <v>141</v>
      </c>
      <c r="B28" s="7" t="s">
        <v>133</v>
      </c>
      <c r="C28" s="7" t="s">
        <v>142</v>
      </c>
      <c r="D28" s="7" t="s">
        <v>143</v>
      </c>
      <c r="E28" s="7" t="s">
        <v>9</v>
      </c>
      <c r="F28" s="7" t="s">
        <v>31</v>
      </c>
      <c r="G28" s="7"/>
      <c r="H28" s="8" t="s">
        <v>144</v>
      </c>
    </row>
    <row r="29" spans="1:8" ht="28.5">
      <c r="A29" s="6" t="s">
        <v>145</v>
      </c>
      <c r="B29" s="7" t="s">
        <v>133</v>
      </c>
      <c r="C29" s="7" t="s">
        <v>146</v>
      </c>
      <c r="D29" s="7" t="s">
        <v>147</v>
      </c>
      <c r="E29" s="7" t="s">
        <v>9</v>
      </c>
      <c r="F29" s="7" t="s">
        <v>31</v>
      </c>
      <c r="G29" s="7"/>
      <c r="H29" s="8" t="s">
        <v>148</v>
      </c>
    </row>
    <row r="30" spans="1:8" ht="28.5">
      <c r="A30" s="6" t="s">
        <v>149</v>
      </c>
      <c r="B30" s="7" t="s">
        <v>133</v>
      </c>
      <c r="C30" s="7" t="s">
        <v>150</v>
      </c>
      <c r="D30" s="7" t="s">
        <v>151</v>
      </c>
      <c r="E30" s="7" t="s">
        <v>9</v>
      </c>
      <c r="F30" s="7" t="s">
        <v>31</v>
      </c>
      <c r="G30" s="7"/>
      <c r="H30" s="8" t="s">
        <v>152</v>
      </c>
    </row>
    <row r="31" spans="1:8" ht="28.5">
      <c r="A31" s="6" t="s">
        <v>153</v>
      </c>
      <c r="B31" s="7" t="s">
        <v>133</v>
      </c>
      <c r="C31" s="7" t="s">
        <v>154</v>
      </c>
      <c r="D31" s="7" t="s">
        <v>155</v>
      </c>
      <c r="E31" s="7" t="s">
        <v>9</v>
      </c>
      <c r="F31" s="7" t="s">
        <v>31</v>
      </c>
      <c r="G31" s="7"/>
      <c r="H31" s="8" t="s">
        <v>156</v>
      </c>
    </row>
    <row r="32" spans="1:8" ht="28.5">
      <c r="A32" s="6" t="s">
        <v>157</v>
      </c>
      <c r="B32" s="7" t="s">
        <v>133</v>
      </c>
      <c r="C32" s="7" t="s">
        <v>158</v>
      </c>
      <c r="D32" s="7" t="s">
        <v>159</v>
      </c>
      <c r="E32" s="7" t="s">
        <v>9</v>
      </c>
      <c r="F32" s="7" t="s">
        <v>31</v>
      </c>
      <c r="G32" s="7"/>
      <c r="H32" s="8" t="s">
        <v>160</v>
      </c>
    </row>
    <row r="33" spans="1:8">
      <c r="A33" s="6" t="s">
        <v>161</v>
      </c>
      <c r="B33" s="7" t="s">
        <v>133</v>
      </c>
      <c r="C33" s="7" t="s">
        <v>162</v>
      </c>
      <c r="D33" s="7" t="s">
        <v>163</v>
      </c>
      <c r="E33" s="7" t="s">
        <v>14</v>
      </c>
      <c r="F33" s="7" t="s">
        <v>16</v>
      </c>
      <c r="G33" s="7"/>
      <c r="H33" s="8" t="s">
        <v>164</v>
      </c>
    </row>
    <row r="34" spans="1:8" ht="28.5">
      <c r="A34" s="6" t="s">
        <v>165</v>
      </c>
      <c r="B34" s="7" t="s">
        <v>166</v>
      </c>
      <c r="C34" s="7" t="s">
        <v>167</v>
      </c>
      <c r="D34" s="7" t="s">
        <v>168</v>
      </c>
      <c r="E34" s="7" t="s">
        <v>11</v>
      </c>
      <c r="F34" s="7" t="s">
        <v>31</v>
      </c>
      <c r="G34" s="7"/>
      <c r="H34" s="8" t="s">
        <v>169</v>
      </c>
    </row>
    <row r="35" spans="1:8" ht="42.75">
      <c r="A35" s="6" t="s">
        <v>170</v>
      </c>
      <c r="B35" s="7" t="s">
        <v>171</v>
      </c>
      <c r="C35" s="7" t="s">
        <v>172</v>
      </c>
      <c r="D35" s="7" t="s">
        <v>173</v>
      </c>
      <c r="E35" s="7" t="s">
        <v>9</v>
      </c>
      <c r="F35" s="7" t="s">
        <v>53</v>
      </c>
      <c r="G35" s="7" t="s">
        <v>174</v>
      </c>
      <c r="H35" s="8" t="s">
        <v>175</v>
      </c>
    </row>
    <row r="36" spans="1:8" ht="28.5">
      <c r="A36" s="9" t="s">
        <v>176</v>
      </c>
      <c r="B36" s="10" t="s">
        <v>177</v>
      </c>
      <c r="C36" s="10" t="s">
        <v>178</v>
      </c>
      <c r="D36" s="10" t="s">
        <v>179</v>
      </c>
      <c r="E36" s="10" t="s">
        <v>11</v>
      </c>
      <c r="F36" s="10" t="s">
        <v>31</v>
      </c>
      <c r="G36" s="10"/>
      <c r="H36" s="11" t="s">
        <v>180</v>
      </c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  <row r="87" spans="1:8">
      <c r="A87" s="7"/>
      <c r="B87" s="7"/>
      <c r="C87" s="7"/>
      <c r="D87" s="7"/>
      <c r="E87" s="7"/>
      <c r="F87" s="7"/>
      <c r="G87" s="7"/>
      <c r="H87" s="7"/>
    </row>
    <row r="88" spans="1:8">
      <c r="A88" s="7"/>
      <c r="B88" s="7"/>
      <c r="C88" s="7"/>
      <c r="D88" s="7"/>
      <c r="E88" s="7"/>
      <c r="F88" s="7"/>
      <c r="G88" s="7"/>
      <c r="H88" s="7"/>
    </row>
    <row r="89" spans="1:8">
      <c r="A89" s="7"/>
      <c r="B89" s="7"/>
      <c r="C89" s="7"/>
      <c r="D89" s="7"/>
      <c r="E89" s="7"/>
      <c r="F89" s="7"/>
      <c r="G89" s="7"/>
      <c r="H89" s="7"/>
    </row>
    <row r="90" spans="1:8">
      <c r="A90" s="7"/>
      <c r="B90" s="7"/>
      <c r="C90" s="7"/>
      <c r="D90" s="7"/>
      <c r="E90" s="7"/>
      <c r="F90" s="7"/>
      <c r="G90" s="7"/>
      <c r="H90" s="7"/>
    </row>
    <row r="91" spans="1:8">
      <c r="A91" s="7"/>
      <c r="B91" s="7"/>
      <c r="C91" s="7"/>
      <c r="D91" s="7"/>
      <c r="E91" s="7"/>
      <c r="F91" s="7"/>
      <c r="G91" s="7"/>
      <c r="H91" s="7"/>
    </row>
    <row r="92" spans="1:8">
      <c r="A92" s="7"/>
      <c r="B92" s="7"/>
      <c r="C92" s="7"/>
      <c r="D92" s="7"/>
      <c r="E92" s="7"/>
      <c r="F92" s="7"/>
      <c r="G92" s="7"/>
      <c r="H92" s="7"/>
    </row>
    <row r="93" spans="1:8">
      <c r="A93" s="7"/>
      <c r="B93" s="7"/>
      <c r="C93" s="7"/>
      <c r="D93" s="7"/>
      <c r="E93" s="7"/>
      <c r="F93" s="7"/>
      <c r="G93" s="7"/>
      <c r="H93" s="7"/>
    </row>
    <row r="94" spans="1:8">
      <c r="A94" s="7"/>
      <c r="B94" s="7"/>
      <c r="C94" s="7"/>
      <c r="D94" s="7"/>
      <c r="E94" s="7"/>
      <c r="F94" s="7"/>
      <c r="G94" s="7"/>
      <c r="H94" s="7"/>
    </row>
    <row r="95" spans="1:8">
      <c r="A95" s="7"/>
      <c r="B95" s="7"/>
      <c r="C95" s="7"/>
      <c r="D95" s="7"/>
      <c r="E95" s="7"/>
      <c r="F95" s="7"/>
      <c r="G95" s="7"/>
      <c r="H95" s="7"/>
    </row>
    <row r="96" spans="1:8">
      <c r="A96" s="7"/>
      <c r="B96" s="7"/>
      <c r="C96" s="7"/>
      <c r="D96" s="7"/>
      <c r="E96" s="7"/>
      <c r="F96" s="7"/>
      <c r="G96" s="7"/>
      <c r="H96" s="7"/>
    </row>
    <row r="97" spans="1:8">
      <c r="A97" s="7"/>
      <c r="B97" s="7"/>
      <c r="C97" s="7"/>
      <c r="D97" s="7"/>
      <c r="E97" s="7"/>
      <c r="F97" s="7"/>
      <c r="G97" s="7"/>
      <c r="H97" s="7"/>
    </row>
    <row r="98" spans="1:8">
      <c r="A98" s="7"/>
      <c r="B98" s="7"/>
      <c r="C98" s="7"/>
      <c r="D98" s="7"/>
      <c r="E98" s="7"/>
      <c r="F98" s="7"/>
      <c r="G98" s="7"/>
      <c r="H98" s="7"/>
    </row>
    <row r="99" spans="1:8">
      <c r="A99" s="7"/>
      <c r="B99" s="7"/>
      <c r="C99" s="7"/>
      <c r="D99" s="7"/>
      <c r="E99" s="7"/>
      <c r="F99" s="7"/>
      <c r="G99" s="7"/>
      <c r="H99" s="7"/>
    </row>
    <row r="100" spans="1:8">
      <c r="A100" s="7"/>
      <c r="B100" s="7"/>
      <c r="C100" s="7"/>
      <c r="D100" s="7"/>
      <c r="E100" s="7"/>
      <c r="F100" s="7"/>
      <c r="G100" s="7"/>
      <c r="H100" s="7"/>
    </row>
  </sheetData>
  <conditionalFormatting sqref="F2:F100">
    <cfRule type="expression" dxfId="2" priority="1">
      <formula>F2="Pass"</formula>
    </cfRule>
    <cfRule type="expression" dxfId="1" priority="2">
      <formula>F2="Fail"</formula>
    </cfRule>
    <cfRule type="expression" dxfId="0" priority="3">
      <formula>F2="Not Run"</formula>
    </cfRule>
  </conditionalFormatting>
  <dataValidations count="2">
    <dataValidation type="list" sqref="E2:E100" xr:uid="{00000000-0002-0000-0100-000000000000}">
      <formula1>"Covered,Partially Covered,Planned,Not Covered"</formula1>
    </dataValidation>
    <dataValidation type="list" sqref="F2:F100" xr:uid="{00000000-0002-0000-0100-000001000000}">
      <formula1>"Pass,Fail,Blocked,Not Run,Not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F11" sqref="F11"/>
    </sheetView>
  </sheetViews>
  <sheetFormatPr defaultRowHeight="14.25"/>
  <cols>
    <col min="1" max="2" width="24" customWidth="1"/>
  </cols>
  <sheetData>
    <row r="1" spans="1:2" ht="15">
      <c r="A1" s="16" t="s">
        <v>23</v>
      </c>
      <c r="B1" s="14" t="s">
        <v>24</v>
      </c>
    </row>
    <row r="2" spans="1:2">
      <c r="A2" s="1" t="s">
        <v>9</v>
      </c>
      <c r="B2" s="2" t="s">
        <v>31</v>
      </c>
    </row>
    <row r="3" spans="1:2">
      <c r="A3" s="1" t="s">
        <v>11</v>
      </c>
      <c r="B3" s="2" t="s">
        <v>53</v>
      </c>
    </row>
    <row r="4" spans="1:2">
      <c r="A4" s="1" t="s">
        <v>14</v>
      </c>
      <c r="B4" s="2" t="s">
        <v>15</v>
      </c>
    </row>
    <row r="5" spans="1:2">
      <c r="A5" s="1" t="s">
        <v>181</v>
      </c>
      <c r="B5" s="2" t="s">
        <v>16</v>
      </c>
    </row>
    <row r="6" spans="1:2">
      <c r="A6" s="3"/>
      <c r="B6" s="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Traceability_Matrix</vt:lpstr>
      <vt:lpstr>Status_Lists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Dhruba Aryal</cp:lastModifiedBy>
  <dcterms:modified xsi:type="dcterms:W3CDTF">2026-07-30T23:37:20Z</dcterms:modified>
</cp:coreProperties>
</file>