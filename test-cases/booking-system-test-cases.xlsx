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cec3a3cfb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871956570e49b6"/>
    <x:sheet xmlns:r="http://schemas.openxmlformats.org/officeDocument/2006/relationships" name="Test_Cases" sheetId="2" r:id="R7a105386a52c4001"/>
    <x:sheet xmlns:r="http://schemas.openxmlformats.org/officeDocument/2006/relationships" name="Requirements" sheetId="3" r:id="R3982d858919540fb"/>
    <x:sheet xmlns:r="http://schemas.openxmlformats.org/officeDocument/2006/relationships" name="Test_Data" sheetId="4" r:id="R9d062a8e420c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17e46b6974914" /><Relationship Type="http://schemas.openxmlformats.org/officeDocument/2006/relationships/theme" Target="/xl/theme/theme1.xml" Id="Rd56ae8964fac44c6" /><Relationship Type="http://schemas.openxmlformats.org/officeDocument/2006/relationships/sharedStrings" Target="/xl/sharedStrings.xml" Id="Rd2016c8c75724bc9" /><Relationship Type="http://schemas.openxmlformats.org/officeDocument/2006/relationships/worksheet" Target="/xl/worksheets/sheet1.xml" Id="Rfd871956570e49b6" /><Relationship Type="http://schemas.openxmlformats.org/officeDocument/2006/relationships/worksheet" Target="/xl/worksheets/sheet2.xml" Id="R7a105386a52c4001" /><Relationship Type="http://schemas.openxmlformats.org/officeDocument/2006/relationships/worksheet" Target="/xl/worksheets/sheet3.xml" Id="R3982d858919540fb" /><Relationship Type="http://schemas.openxmlformats.org/officeDocument/2006/relationships/worksheet" Target="/xl/worksheets/sheet4.xml" Id="R9d062a8e420c44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API Test-Case Execution Summary</x:v>
      </x:c>
      <x:c r="B1" s="5"/>
      <x:c r="C1" s="5"/>
      <x:c r="D1" s="5"/>
      <x:c r="E1" s="5"/>
      <x:c r="F1" s="5"/>
    </x:row>
    <x:row r="3">
      <x:c r="A3" s="20" t="str">
        <x:v>Metric</x:v>
      </x:c>
      <x:c r="B3" s="21" t="str">
        <x:v>Value</x:v>
      </x:c>
      <x:c r="D3" s="20" t="str">
        <x:v>Final Day 5 Run</x:v>
      </x:c>
      <x:c r="E3" s="32" t="str">
        <x:v>Value</x:v>
      </x:c>
      <x:c r="F3" s="21" t="str">
        <x:v>Notes</x:v>
      </x:c>
    </x:row>
    <x:row r="4">
      <x:c r="A4" s="22" t="str">
        <x:v>Test cases created</x:v>
      </x:c>
      <x:c r="B4" s="23" t="n">
        <x:v>25</x:v>
      </x:c>
      <x:c r="D4" s="22" t="str">
        <x:v>Requests executed</x:v>
      </x:c>
      <x:c r="E4" s="33" t="n">
        <x:v>26</x:v>
      </x:c>
      <x:c r="F4" s="23" t="str">
        <x:v>Includes 1 health check + 25 test cases</x:v>
      </x:c>
    </x:row>
    <x:row r="5">
      <x:c r="A5" s="22" t="str">
        <x:v>Test cases executed</x:v>
      </x:c>
      <x:c r="B5" s="23" t="n">
        <x:f>COUNTIF(Test_Cases!L2:L26,"&lt;&gt;Not Run")</x:f>
        <x:v>25</x:v>
      </x:c>
      <x:c r="D5" s="22" t="str">
        <x:v>Assertions executed</x:v>
      </x:c>
      <x:c r="E5" s="33" t="n">
        <x:v>61</x:v>
      </x:c>
      <x:c r="F5" s="23" t="str">
        <x:v>Final complete collection run</x:v>
      </x:c>
    </x:row>
    <x:row r="6">
      <x:c r="A6" s="22" t="str">
        <x:v>Passed</x:v>
      </x:c>
      <x:c r="B6" s="23" t="n">
        <x:f>COUNTIF(Test_Cases!L2:L26,"Pass")</x:f>
        <x:v>18</x:v>
      </x:c>
      <x:c r="D6" s="22" t="str">
        <x:v>Assertions passed</x:v>
      </x:c>
      <x:c r="E6" s="33" t="n">
        <x:v>51</x:v>
      </x:c>
      <x:c r="F6" s="23" t="str"/>
    </x:row>
    <x:row r="7">
      <x:c r="A7" s="22" t="str">
        <x:v>Failed</x:v>
      </x:c>
      <x:c r="B7" s="23" t="n">
        <x:f>COUNTIF(Test_Cases!L2:L26,"Fail")</x:f>
        <x:v>7</x:v>
      </x:c>
      <x:c r="D7" s="22" t="str">
        <x:v>Assertions failed</x:v>
      </x:c>
      <x:c r="E7" s="33" t="n">
        <x:v>10</x:v>
      </x:c>
      <x:c r="F7" s="23" t="str">
        <x:v>Mapped to 7 failed test cases</x:v>
      </x:c>
    </x:row>
    <x:row r="8">
      <x:c r="A8" s="22" t="str">
        <x:v>Blocked</x:v>
      </x:c>
      <x:c r="B8" s="23" t="n">
        <x:f>COUNTIF(Test_Cases!L2:L26,"Blocked")</x:f>
        <x:v>0</x:v>
      </x:c>
      <x:c r="D8" s="24" t="str">
        <x:v>Runtime errors</x:v>
      </x:c>
      <x:c r="E8" s="34" t="n">
        <x:v>0</x:v>
      </x:c>
      <x:c r="F8" s="25" t="str">
        <x:v>Execution completed successfully</x:v>
      </x:c>
    </x:row>
    <x:row r="9">
      <x:c r="A9" s="24" t="str">
        <x:v>Not Run</x:v>
      </x:c>
      <x:c r="B9" s="25" t="n">
        <x:f>COUNTIF(Test_Cases!L2:L26,"Not Run")</x:f>
        <x:v>0</x:v>
      </x:c>
    </x:row>
    <x:row r="11">
      <x:c r="A11" s="40" t="str">
        <x:v>Important Interpretation</x:v>
      </x:c>
      <x:c r="B11" s="40" t="str"/>
      <x:c r="C11" s="40" t="str"/>
      <x:c r="D11" s="40" t="str"/>
      <x:c r="E11" s="40" t="str"/>
      <x:c r="F11" s="40" t="str"/>
    </x:row>
    <x:row r="12">
      <x:c r="A12" s="45" t="str">
        <x:v>A failed assertion is not the same as a Postman runtime error.</x:v>
      </x:c>
      <x:c r="B12" s="45" t="str"/>
      <x:c r="C12" s="45" t="str"/>
      <x:c r="D12" s="45" t="str"/>
      <x:c r="E12" s="45" t="str"/>
      <x:c r="F12" s="45" t="str"/>
    </x:row>
    <x:row r="13">
      <x:c r="A13" s="45" t="str">
        <x:v>The final run completed successfully from an execution perspective, while seven test cases identified application behavior that did not meet the requirement baseline.</x:v>
      </x:c>
      <x:c r="B13" s="45" t="str"/>
      <x:c r="C13" s="45" t="str"/>
      <x:c r="D13" s="45" t="str"/>
      <x:c r="E13" s="45" t="str"/>
      <x:c r="F13" s="45" t="str"/>
    </x:row>
    <x:row r="14">
      <x:c r="A14" s="45" t="str">
        <x:v>Confirmed defects: DEF-API-001, DEF-API-002, and DEF-API-003.</x:v>
      </x:c>
      <x:c r="B14" s="45" t="str"/>
      <x:c r="C14" s="45" t="str"/>
      <x:c r="D14" s="45" t="str"/>
      <x:c r="E14" s="45" t="str"/>
      <x:c r="F14" s="45" t="str"/>
    </x:row>
  </x:sheetData>
  <x:mergeCells>
    <x:mergeCell ref="A1:F1"/>
    <x:mergeCell ref="A11:F11"/>
    <x:mergeCell ref="A12:F1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30" hidden="0" customWidth="1"/>
    <x:col min="5" max="5" width="28" hidden="0" customWidth="1"/>
    <x:col min="6" max="6" width="12" hidden="0" customWidth="1"/>
    <x:col min="7" max="7" width="34" hidden="0" customWidth="1"/>
    <x:col min="8" max="8" width="30" hidden="0" customWidth="1"/>
    <x:col min="9" max="9" width="42" hidden="0" customWidth="1"/>
    <x:col min="10" max="10" width="42" hidden="0" customWidth="1"/>
    <x:col min="11" max="11" width="50" hidden="0" customWidth="1"/>
    <x:col min="12" max="12" width="12" hidden="0" customWidth="1"/>
    <x:col min="13" max="13" width="18" hidden="0" customWidth="1"/>
    <x:col min="14" max="14" width="30" hidden="0" customWidth="1"/>
    <x:col min="15" max="15" width="36" hidden="0" customWidth="1"/>
  </x:cols>
  <x:sheetData>
    <x:row r="1">
      <x:c r="A1" s="20" t="str">
        <x:v>Test Case ID</x:v>
      </x:c>
      <x:c r="B1" s="32" t="str">
        <x:v>Requirement ID</x:v>
      </x:c>
      <x:c r="C1" s="32" t="str">
        <x:v>Module</x:v>
      </x:c>
      <x:c r="D1" s="32" t="str">
        <x:v>Test Scenario</x:v>
      </x:c>
      <x:c r="E1" s="32" t="str">
        <x:v>Preconditions</x:v>
      </x:c>
      <x:c r="F1" s="32" t="str">
        <x:v>HTTP Method</x:v>
      </x:c>
      <x:c r="G1" s="32" t="str">
        <x:v>Endpoint</x:v>
      </x:c>
      <x:c r="H1" s="32" t="str">
        <x:v>Test Data</x:v>
      </x:c>
      <x:c r="I1" s="32" t="str">
        <x:v>Test Steps</x:v>
      </x:c>
      <x:c r="J1" s="32" t="str">
        <x:v>Expected Result</x:v>
      </x:c>
      <x:c r="K1" s="32" t="str">
        <x:v>Actual Result</x:v>
      </x:c>
      <x:c r="L1" s="32" t="str">
        <x:v>Status</x:v>
      </x:c>
      <x:c r="M1" s="32" t="str">
        <x:v>Related Defect ID</x:v>
      </x:c>
      <x:c r="N1" s="32" t="str">
        <x:v>Evidence</x:v>
      </x:c>
      <x:c r="O1" s="21" t="str">
        <x:v>Comments</x:v>
      </x:c>
    </x:row>
    <x:row r="2">
      <x:c r="A2" s="47" t="str">
        <x:v>TC-AUTH-001</x:v>
      </x:c>
      <x:c r="B2" s="45" t="str">
        <x:v>AUTH-001</x:v>
      </x:c>
      <x:c r="C2" s="45" t="str">
        <x:v>Authentication</x:v>
      </x:c>
      <x:c r="D2" s="45" t="str">
        <x:v>Valid authentication</x:v>
      </x:c>
      <x:c r="E2" s="45" t="str">
        <x:v>API is available; Day 5 environment selected</x:v>
      </x:c>
      <x:c r="F2" s="45" t="str">
        <x:v>POST</x:v>
      </x:c>
      <x:c r="G2" s="45" t="str">
        <x:v>{{baseUrl}}/auth</x:v>
      </x:c>
      <x:c r="H2" s="45" t="str">
        <x:v>Valid local username and password variables</x:v>
      </x:c>
      <x:c r="I2" s="45" t="str">
        <x:v>1. Send POST /auth with valid credentials.
2. Review status and response body.
3. Verify token is returned and stored.</x:v>
      </x:c>
      <x:c r="J2" s="45" t="str">
        <x:v>HTTP 200 is returned; a non-empty token is returned and saved for later requests.</x:v>
      </x:c>
      <x:c r="K2" s="45" t="str">
        <x:v>HTTP 200 returned. A non-empty authentication token was returned and saved to the Postman environment. Functional and response-time assertions passed.</x:v>
      </x:c>
      <x:c r="L2" s="45" t="str">
        <x:v>Pass</x:v>
      </x:c>
      <x:c r="M2" s="45" t="str"/>
      <x:c r="N2" s="45" t="str">
        <x:v>day5-17-valid-authentication-results.png</x:v>
      </x:c>
      <x:c r="O2" s="48" t="str">
        <x:v>Token value is not recorded in this workbook.</x:v>
      </x:c>
    </x:row>
    <x:row r="3">
      <x:c r="A3" s="47" t="str">
        <x:v>TC-AUTH-002</x:v>
      </x:c>
      <x:c r="B3" s="45" t="str">
        <x:v>AUTH-002</x:v>
      </x:c>
      <x:c r="C3" s="45" t="str">
        <x:v>Authentication</x:v>
      </x:c>
      <x:c r="D3" s="45" t="str">
        <x:v>Invalid password</x:v>
      </x:c>
      <x:c r="E3" s="45" t="str">
        <x:v>API is available</x:v>
      </x:c>
      <x:c r="F3" s="45" t="str">
        <x:v>POST</x:v>
      </x:c>
      <x:c r="G3" s="45" t="str">
        <x:v>{{baseUrl}}/auth</x:v>
      </x:c>
      <x:c r="H3" s="45" t="str">
        <x:v>Valid username with an invalid demonstration password</x:v>
      </x:c>
      <x:c r="I3" s="45" t="str">
        <x:v>1. Send POST /auth with an invalid password.
2. Review response.</x:v>
      </x:c>
      <x:c r="J3" s="45" t="str">
        <x:v>HTTP 200 with reason "Bad credentials"; no token is returned.</x:v>
      </x:c>
      <x:c r="K3" s="45" t="str">
        <x:v>HTTP 200 returned with reason "Bad credentials." No token was returned.</x:v>
      </x:c>
      <x:c r="L3" s="45" t="str">
        <x:v>Pass</x:v>
      </x:c>
      <x:c r="M3" s="45" t="str"/>
      <x:c r="N3" s="45" t="str">
        <x:v>Final runner evidence</x:v>
      </x:c>
      <x:c r="O3" s="48" t="str">
        <x:v>Behavior is specific to the demonstration API.</x:v>
      </x:c>
    </x:row>
    <x:row r="4">
      <x:c r="A4" s="47" t="str">
        <x:v>TC-AUTH-003</x:v>
      </x:c>
      <x:c r="B4" s="45" t="str">
        <x:v>AUTH-003</x:v>
      </x:c>
      <x:c r="C4" s="45" t="str">
        <x:v>Authentication</x:v>
      </x:c>
      <x:c r="D4" s="45" t="str">
        <x:v>Missing username</x:v>
      </x:c>
      <x:c r="E4" s="45" t="str">
        <x:v>API is available</x:v>
      </x:c>
      <x:c r="F4" s="45" t="str">
        <x:v>POST</x:v>
      </x:c>
      <x:c r="G4" s="45" t="str">
        <x:v>{{baseUrl}}/auth</x:v>
      </x:c>
      <x:c r="H4" s="45" t="str">
        <x:v>Password only</x:v>
      </x:c>
      <x:c r="I4" s="45" t="str">
        <x:v>1. Omit username.
2. Send POST /auth.
3. Review response.</x:v>
      </x:c>
      <x:c r="J4" s="45" t="str">
        <x:v>HTTP 200 with reason "Bad credentials"; no token is returned.</x:v>
      </x:c>
      <x:c r="K4" s="45" t="str">
        <x:v>HTTP 200 returned with reason "Bad credentials." No token was returned.</x:v>
      </x:c>
      <x:c r="L4" s="45" t="str">
        <x:v>Pass</x:v>
      </x:c>
      <x:c r="M4" s="45" t="str"/>
      <x:c r="N4" s="45" t="str">
        <x:v>Final runner evidence</x:v>
      </x:c>
      <x:c r="O4" s="48" t="str"/>
    </x:row>
    <x:row r="5">
      <x:c r="A5" s="47" t="str">
        <x:v>TC-AUTH-004</x:v>
      </x:c>
      <x:c r="B5" s="45" t="str">
        <x:v>AUTH-004</x:v>
      </x:c>
      <x:c r="C5" s="45" t="str">
        <x:v>Authentication</x:v>
      </x:c>
      <x:c r="D5" s="45" t="str">
        <x:v>Missing password</x:v>
      </x:c>
      <x:c r="E5" s="45" t="str">
        <x:v>API is available</x:v>
      </x:c>
      <x:c r="F5" s="45" t="str">
        <x:v>POST</x:v>
      </x:c>
      <x:c r="G5" s="45" t="str">
        <x:v>{{baseUrl}}/auth</x:v>
      </x:c>
      <x:c r="H5" s="45" t="str">
        <x:v>Username only</x:v>
      </x:c>
      <x:c r="I5" s="45" t="str">
        <x:v>1. Omit password.
2. Send POST /auth.
3. Review response.</x:v>
      </x:c>
      <x:c r="J5" s="45" t="str">
        <x:v>HTTP 200 with reason "Bad credentials"; no token is returned.</x:v>
      </x:c>
      <x:c r="K5" s="45" t="str">
        <x:v>HTTP 200 returned with reason "Bad credentials." No token was returned.</x:v>
      </x:c>
      <x:c r="L5" s="45" t="str">
        <x:v>Pass</x:v>
      </x:c>
      <x:c r="M5" s="45" t="str"/>
      <x:c r="N5" s="45" t="str">
        <x:v>Final runner evidence</x:v>
      </x:c>
      <x:c r="O5" s="48" t="str"/>
    </x:row>
    <x:row r="6">
      <x:c r="A6" s="47" t="str">
        <x:v>TC-AUTH-005</x:v>
      </x:c>
      <x:c r="B6" s="45" t="str">
        <x:v>AUTH-005</x:v>
      </x:c>
      <x:c r="C6" s="45" t="str">
        <x:v>Authentication</x:v>
      </x:c>
      <x:c r="D6" s="45" t="str">
        <x:v>Blank username and password</x:v>
      </x:c>
      <x:c r="E6" s="45" t="str">
        <x:v>API is available</x:v>
      </x:c>
      <x:c r="F6" s="45" t="str">
        <x:v>POST</x:v>
      </x:c>
      <x:c r="G6" s="45" t="str">
        <x:v>{{baseUrl}}/auth</x:v>
      </x:c>
      <x:c r="H6" s="45" t="str">
        <x:v>Blank username and blank password</x:v>
      </x:c>
      <x:c r="I6" s="45" t="str">
        <x:v>1. Send blank credentials.
2. Review response.</x:v>
      </x:c>
      <x:c r="J6" s="45" t="str">
        <x:v>HTTP 200 with reason "Bad credentials"; no token is returned.</x:v>
      </x:c>
      <x:c r="K6" s="45" t="str">
        <x:v>HTTP 200 returned with reason "Bad credentials." No token was returned.</x:v>
      </x:c>
      <x:c r="L6" s="45" t="str">
        <x:v>Pass</x:v>
      </x:c>
      <x:c r="M6" s="45" t="str"/>
      <x:c r="N6" s="45" t="str">
        <x:v>Final runner evidence</x:v>
      </x:c>
      <x:c r="O6" s="48" t="str"/>
    </x:row>
    <x:row r="7">
      <x:c r="A7" s="47" t="str">
        <x:v>TC-BOOK-001</x:v>
      </x:c>
      <x:c r="B7" s="45" t="str">
        <x:v>BOOK-005; BOOK-006; BOOK-007; BOOK-008</x:v>
      </x:c>
      <x:c r="C7" s="45" t="str">
        <x:v>Booking Creation</x:v>
      </x:c>
      <x:c r="D7" s="45" t="str">
        <x:v>Create valid booking</x:v>
      </x:c>
      <x:c r="E7" s="45" t="str">
        <x:v>API is available</x:v>
      </x:c>
      <x:c r="F7" s="45" t="str">
        <x:v>POST</x:v>
      </x:c>
      <x:c r="G7" s="45" t="str">
        <x:v>{{baseUrl}}/booking</x:v>
      </x:c>
      <x:c r="H7" s="45" t="str">
        <x:v>Valid name, positive price, deposit flag, valid dates, additional needs</x:v>
      </x:c>
      <x:c r="I7" s="45" t="str">
        <x:v>1. Send a valid booking request.
2. Verify HTTP status.
3. Verify booking ID and returned fields.
4. Save booking ID.</x:v>
      </x:c>
      <x:c r="J7" s="45" t="str">
        <x:v>HTTP 200 is returned; a numeric booking ID and matching booking data are returned.</x:v>
      </x:c>
      <x:c r="K7" s="45" t="str">
        <x:v>HTTP 200 returned. A numeric booking ID was created and saved. Returned name, price, deposit status, dates, and additional-needs values matched the request.</x:v>
      </x:c>
      <x:c r="L7" s="45" t="str">
        <x:v>Pass</x:v>
      </x:c>
      <x:c r="M7" s="45" t="str"/>
      <x:c r="N7" s="45" t="str">
        <x:v>day5-18-valid-booking-creation-results.png</x:v>
      </x:c>
      <x:c r="O7" s="48" t="str"/>
    </x:row>
    <x:row r="8">
      <x:c r="A8" s="47" t="str">
        <x:v>TC-BOOK-002</x:v>
      </x:c>
      <x:c r="B8" s="45" t="str">
        <x:v>BOOK-001; NFR-002</x:v>
      </x:c>
      <x:c r="C8" s="45" t="str">
        <x:v>Booking Creation</x:v>
      </x:c>
      <x:c r="D8" s="45" t="str">
        <x:v>Missing first name</x:v>
      </x:c>
      <x:c r="E8" s="45" t="str">
        <x:v>API is available</x:v>
      </x:c>
      <x:c r="F8" s="45" t="str">
        <x:v>POST</x:v>
      </x:c>
      <x:c r="G8" s="45" t="str">
        <x:v>{{baseUrl}}/booking</x:v>
      </x:c>
      <x:c r="H8" s="45" t="str">
        <x:v>Valid booking body without firstname</x:v>
      </x:c>
      <x:c r="I8" s="45" t="str">
        <x:v>1. Omit firstname.
2. Send POST /booking.
3. Review status and body.</x:v>
      </x:c>
      <x:c r="J8" s="45" t="str">
        <x:v>HTTP 400 or 422 is returned with a clear validation message; no booking ID is created.</x:v>
      </x:c>
      <x:c r="K8" s="45" t="str">
        <x:v>HTTP 500 Internal Server Error returned when firstname was omitted. No booking ID was created, but the API did not return a clear client-validation response.</x:v>
      </x:c>
      <x:c r="L8" s="45" t="str">
        <x:v>Fail</x:v>
      </x:c>
      <x:c r="M8" s="45" t="str">
        <x:v>DEF-API-003</x:v>
      </x:c>
      <x:c r="N8" s="45" t="str">
        <x:v>day5-30 and day5-31 screenshots</x:v>
      </x:c>
      <x:c r="O8" s="48" t="str">
        <x:v>Confirmed error-handling defect.</x:v>
      </x:c>
    </x:row>
    <x:row r="9">
      <x:c r="A9" s="47" t="str">
        <x:v>TC-BOOK-003</x:v>
      </x:c>
      <x:c r="B9" s="45" t="str">
        <x:v>BOOK-002; NFR-002</x:v>
      </x:c>
      <x:c r="C9" s="45" t="str">
        <x:v>Booking Creation</x:v>
      </x:c>
      <x:c r="D9" s="45" t="str">
        <x:v>Missing booking dates</x:v>
      </x:c>
      <x:c r="E9" s="45" t="str">
        <x:v>API is available</x:v>
      </x:c>
      <x:c r="F9" s="45" t="str">
        <x:v>POST</x:v>
      </x:c>
      <x:c r="G9" s="45" t="str">
        <x:v>{{baseUrl}}/booking</x:v>
      </x:c>
      <x:c r="H9" s="45" t="str">
        <x:v>Valid booking body without bookingdates</x:v>
      </x:c>
      <x:c r="I9" s="45" t="str">
        <x:v>1. Omit bookingdates.
2. Send POST /booking.
3. Review status and body.</x:v>
      </x:c>
      <x:c r="J9" s="45" t="str">
        <x:v>HTTP 400 or 422 is returned with a clear validation message; no booking ID is created.</x:v>
      </x:c>
      <x:c r="K9" s="45" t="str">
        <x:v>HTTP 500 Internal Server Error returned when bookingdates was omitted. No booking ID was created, but no clear client-validation response was returned.</x:v>
      </x:c>
      <x:c r="L9" s="45" t="str">
        <x:v>Fail</x:v>
      </x:c>
      <x:c r="M9" s="45" t="str">
        <x:v>DEF-API-003</x:v>
      </x:c>
      <x:c r="N9" s="45" t="str">
        <x:v>day5-32 and day5-33 screenshots</x:v>
      </x:c>
      <x:c r="O9" s="48" t="str">
        <x:v>Confirmed error-handling defect.</x:v>
      </x:c>
    </x:row>
    <x:row r="10">
      <x:c r="A10" s="47" t="str">
        <x:v>TC-BOOK-004</x:v>
      </x:c>
      <x:c r="B10" s="45" t="str">
        <x:v>BOOK-003; NFR-002</x:v>
      </x:c>
      <x:c r="C10" s="45" t="str">
        <x:v>Booking Creation</x:v>
      </x:c>
      <x:c r="D10" s="45" t="str">
        <x:v>Checkout before check-in</x:v>
      </x:c>
      <x:c r="E10" s="45" t="str">
        <x:v>API is available</x:v>
      </x:c>
      <x:c r="F10" s="45" t="str">
        <x:v>POST</x:v>
      </x:c>
      <x:c r="G10" s="45" t="str">
        <x:v>{{baseUrl}}/booking</x:v>
      </x:c>
      <x:c r="H10" s="45" t="str">
        <x:v>Check-in 2026-08-14; checkout 2026-08-10</x:v>
      </x:c>
      <x:c r="I10" s="45" t="str">
        <x:v>1. Submit booking with checkout earlier than check-in.
2. Review status and response.</x:v>
      </x:c>
      <x:c r="J10" s="45" t="str">
        <x:v>HTTP 400 or 422 is returned; no booking ID is created.</x:v>
      </x:c>
      <x:c r="K10" s="45" t="str">
        <x:v>HTTP 200 returned. The API created a booking and returned a booking ID even though checkout occurred before check-in.</x:v>
      </x:c>
      <x:c r="L10" s="45" t="str">
        <x:v>Fail</x:v>
      </x:c>
      <x:c r="M10" s="45" t="str">
        <x:v>DEF-API-001</x:v>
      </x:c>
      <x:c r="N10" s="45" t="str">
        <x:v>day5-22 and day5-23 screenshots</x:v>
      </x:c>
      <x:c r="O10" s="48" t="str">
        <x:v>Confirmed business-rule defect.</x:v>
      </x:c>
    </x:row>
    <x:row r="11">
      <x:c r="A11" s="47" t="str">
        <x:v>TC-BOOK-005</x:v>
      </x:c>
      <x:c r="B11" s="45" t="str">
        <x:v>BOOK-004; NFR-002</x:v>
      </x:c>
      <x:c r="C11" s="45" t="str">
        <x:v>Booking Creation</x:v>
      </x:c>
      <x:c r="D11" s="45" t="str">
        <x:v>Zero total price</x:v>
      </x:c>
      <x:c r="E11" s="45" t="str">
        <x:v>API is available</x:v>
      </x:c>
      <x:c r="F11" s="45" t="str">
        <x:v>POST</x:v>
      </x:c>
      <x:c r="G11" s="45" t="str">
        <x:v>{{baseUrl}}/booking</x:v>
      </x:c>
      <x:c r="H11" s="45" t="str">
        <x:v>totalprice = 0</x:v>
      </x:c>
      <x:c r="I11" s="45" t="str">
        <x:v>1. Submit valid booking data with totalprice 0.
2. Review response.</x:v>
      </x:c>
      <x:c r="J11" s="45" t="str">
        <x:v>HTTP 400 or 422 is returned; no booking ID is created.</x:v>
      </x:c>
      <x:c r="K11" s="45" t="str">
        <x:v>HTTP 200 returned. The API created a booking and returned a booking ID when totalprice was 0.</x:v>
      </x:c>
      <x:c r="L11" s="45" t="str">
        <x:v>Fail</x:v>
      </x:c>
      <x:c r="M11" s="45" t="str">
        <x:v>DEF-API-002</x:v>
      </x:c>
      <x:c r="N11" s="45" t="str">
        <x:v>day5-26 and day5-27 screenshots</x:v>
      </x:c>
      <x:c r="O11" s="48" t="str">
        <x:v>Confirmed business-rule defect.</x:v>
      </x:c>
    </x:row>
    <x:row r="12">
      <x:c r="A12" s="47" t="str">
        <x:v>TC-BOOK-006</x:v>
      </x:c>
      <x:c r="B12" s="45" t="str">
        <x:v>BOOK-001; NFR-002</x:v>
      </x:c>
      <x:c r="C12" s="45" t="str">
        <x:v>Booking Creation</x:v>
      </x:c>
      <x:c r="D12" s="45" t="str">
        <x:v>Missing last name</x:v>
      </x:c>
      <x:c r="E12" s="45" t="str">
        <x:v>API is available</x:v>
      </x:c>
      <x:c r="F12" s="45" t="str">
        <x:v>POST</x:v>
      </x:c>
      <x:c r="G12" s="45" t="str">
        <x:v>{{baseUrl}}/booking</x:v>
      </x:c>
      <x:c r="H12" s="45" t="str">
        <x:v>Valid booking body without lastname</x:v>
      </x:c>
      <x:c r="I12" s="45" t="str">
        <x:v>1. Omit lastname.
2. Send POST /booking.
3. Review status and body.</x:v>
      </x:c>
      <x:c r="J12" s="45" t="str">
        <x:v>HTTP 400 or 422 is returned with a clear validation message; no booking ID is created.</x:v>
      </x:c>
      <x:c r="K12" s="45" t="str">
        <x:v>HTTP 500 Internal Server Error returned when lastname was omitted. No booking ID was created, but no clear client-validation response was returned.</x:v>
      </x:c>
      <x:c r="L12" s="45" t="str">
        <x:v>Fail</x:v>
      </x:c>
      <x:c r="M12" s="45" t="str">
        <x:v>DEF-API-003</x:v>
      </x:c>
      <x:c r="N12" s="45" t="str">
        <x:v>day5-34 and day5-35 screenshots</x:v>
      </x:c>
      <x:c r="O12" s="48" t="str">
        <x:v>Confirmed error-handling defect.</x:v>
      </x:c>
    </x:row>
    <x:row r="13">
      <x:c r="A13" s="47" t="str">
        <x:v>TC-VAL-001</x:v>
      </x:c>
      <x:c r="B13" s="45" t="str">
        <x:v>BOOK-004</x:v>
      </x:c>
      <x:c r="C13" s="45" t="str">
        <x:v>Boundary Validation</x:v>
      </x:c>
      <x:c r="D13" s="45" t="str">
        <x:v>Minimum positive total price</x:v>
      </x:c>
      <x:c r="E13" s="45" t="str">
        <x:v>API is available</x:v>
      </x:c>
      <x:c r="F13" s="45" t="str">
        <x:v>POST</x:v>
      </x:c>
      <x:c r="G13" s="45" t="str">
        <x:v>{{baseUrl}}/booking</x:v>
      </x:c>
      <x:c r="H13" s="45" t="str">
        <x:v>totalprice = 1</x:v>
      </x:c>
      <x:c r="I13" s="45" t="str">
        <x:v>1. Submit booking with totalprice 1.
2. Verify booking creation.</x:v>
      </x:c>
      <x:c r="J13" s="45" t="str">
        <x:v>HTTP 200 is returned; booking ID is created; totalprice 1 is retained.</x:v>
      </x:c>
      <x:c r="K13" s="45" t="str">
        <x:v>HTTP 200 returned. A booking ID was created and totalprice 1 was accepted.</x:v>
      </x:c>
      <x:c r="L13" s="45" t="str">
        <x:v>Pass</x:v>
      </x:c>
      <x:c r="M13" s="45" t="str"/>
      <x:c r="N13" s="45" t="str">
        <x:v>Final runner evidence</x:v>
      </x:c>
      <x:c r="O13" s="48" t="str"/>
    </x:row>
    <x:row r="14">
      <x:c r="A14" s="47" t="str">
        <x:v>TC-VAL-002</x:v>
      </x:c>
      <x:c r="B14" s="45" t="str">
        <x:v>BOOK-004; NFR-002</x:v>
      </x:c>
      <x:c r="C14" s="45" t="str">
        <x:v>Boundary Validation</x:v>
      </x:c>
      <x:c r="D14" s="45" t="str">
        <x:v>Negative total price</x:v>
      </x:c>
      <x:c r="E14" s="45" t="str">
        <x:v>API is available</x:v>
      </x:c>
      <x:c r="F14" s="45" t="str">
        <x:v>POST</x:v>
      </x:c>
      <x:c r="G14" s="45" t="str">
        <x:v>{{baseUrl}}/booking</x:v>
      </x:c>
      <x:c r="H14" s="45" t="str">
        <x:v>totalprice = -1</x:v>
      </x:c>
      <x:c r="I14" s="45" t="str">
        <x:v>1. Submit booking with totalprice -1.
2. Review response.</x:v>
      </x:c>
      <x:c r="J14" s="45" t="str">
        <x:v>HTTP 400 or 422 is returned; no booking ID is created.</x:v>
      </x:c>
      <x:c r="K14" s="45" t="str">
        <x:v>HTTP 200 returned. The API created a booking and returned a booking ID when totalprice was -1.</x:v>
      </x:c>
      <x:c r="L14" s="45" t="str">
        <x:v>Fail</x:v>
      </x:c>
      <x:c r="M14" s="45" t="str">
        <x:v>DEF-API-002</x:v>
      </x:c>
      <x:c r="N14" s="45" t="str">
        <x:v>day5-28 and day5-29 screenshots</x:v>
      </x:c>
      <x:c r="O14" s="48" t="str">
        <x:v>Confirmed business-rule defect.</x:v>
      </x:c>
    </x:row>
    <x:row r="15">
      <x:c r="A15" s="47" t="str">
        <x:v>TC-RET-001</x:v>
      </x:c>
      <x:c r="B15" s="45" t="str">
        <x:v>RET-001</x:v>
      </x:c>
      <x:c r="C15" s="45" t="str">
        <x:v>Booking Retrieval</x:v>
      </x:c>
      <x:c r="D15" s="45" t="str">
        <x:v>Retrieve existing booking</x:v>
      </x:c>
      <x:c r="E15" s="45" t="str">
        <x:v>A valid booking ID exists</x:v>
      </x:c>
      <x:c r="F15" s="45" t="str">
        <x:v>GET</x:v>
      </x:c>
      <x:c r="G15" s="45" t="str">
        <x:v>{{baseUrl}}/booking/{{bookingId}}</x:v>
      </x:c>
      <x:c r="H15" s="45" t="str">
        <x:v>Current bookingId</x:v>
      </x:c>
      <x:c r="I15" s="45" t="str">
        <x:v>1. Retrieve the created booking.
2. Verify status and booking fields.</x:v>
      </x:c>
      <x:c r="J15" s="45" t="str">
        <x:v>HTTP 200 is returned and complete booking information matches the created record.</x:v>
      </x:c>
      <x:c r="K15" s="45" t="str">
        <x:v>HTTP 200 returned. Complete booking information matched the previously created booking.</x:v>
      </x:c>
      <x:c r="L15" s="45" t="str">
        <x:v>Pass</x:v>
      </x:c>
      <x:c r="M15" s="45" t="str"/>
      <x:c r="N15" s="45" t="str">
        <x:v>day5-19-booking-retrieval-results.png</x:v>
      </x:c>
      <x:c r="O15" s="48" t="str"/>
    </x:row>
    <x:row r="16">
      <x:c r="A16" s="47" t="str">
        <x:v>TC-RET-002</x:v>
      </x:c>
      <x:c r="B16" s="45" t="str">
        <x:v>RET-002</x:v>
      </x:c>
      <x:c r="C16" s="45" t="str">
        <x:v>Booking Retrieval</x:v>
      </x:c>
      <x:c r="D16" s="45" t="str">
        <x:v>Retrieve nonexistent booking</x:v>
      </x:c>
      <x:c r="E16" s="45" t="str">
        <x:v>API is available</x:v>
      </x:c>
      <x:c r="F16" s="45" t="str">
        <x:v>GET</x:v>
      </x:c>
      <x:c r="G16" s="45" t="str">
        <x:v>{{baseUrl}}/booking/{{nonexistentBookingId}}</x:v>
      </x:c>
      <x:c r="H16" s="45" t="str">
        <x:v>Nonexistent ID placeholder</x:v>
      </x:c>
      <x:c r="I16" s="45" t="str">
        <x:v>1. Request a nonexistent booking ID.
2. Review status.</x:v>
      </x:c>
      <x:c r="J16" s="45" t="str">
        <x:v>HTTP 404 is returned.</x:v>
      </x:c>
      <x:c r="K16" s="45" t="str">
        <x:v>HTTP 404 returned for the nonexistent booking ID.</x:v>
      </x:c>
      <x:c r="L16" s="45" t="str">
        <x:v>Pass</x:v>
      </x:c>
      <x:c r="M16" s="45" t="str"/>
      <x:c r="N16" s="45" t="str">
        <x:v>day5-19-booking-retrieval-results.png</x:v>
      </x:c>
      <x:c r="O16" s="48" t="str"/>
    </x:row>
    <x:row r="17">
      <x:c r="A17" s="47" t="str">
        <x:v>TC-RET-003</x:v>
      </x:c>
      <x:c r="B17" s="45" t="str">
        <x:v>RET-003</x:v>
      </x:c>
      <x:c r="C17" s="45" t="str">
        <x:v>Booking Retrieval</x:v>
      </x:c>
      <x:c r="D17" s="45" t="str">
        <x:v>Search booking by customer name</x:v>
      </x:c>
      <x:c r="E17" s="45" t="str">
        <x:v>A valid booking exists</x:v>
      </x:c>
      <x:c r="F17" s="45" t="str">
        <x:v>GET</x:v>
      </x:c>
      <x:c r="G17" s="45" t="str">
        <x:v>{{baseUrl}}/booking?firstname={{firstName}}&amp;lastname={{lastName}}</x:v>
      </x:c>
      <x:c r="H17" s="45" t="str">
        <x:v>Generic test first and last name</x:v>
      </x:c>
      <x:c r="I17" s="45" t="str">
        <x:v>1. Search by first and last name.
2. Verify response is an array.
3. Verify created ID is included.</x:v>
      </x:c>
      <x:c r="J17" s="45" t="str">
        <x:v>HTTP 200 is returned; response is an array containing the created booking ID.</x:v>
      </x:c>
      <x:c r="K17" s="45" t="str">
        <x:v>HTTP 200 returned. The response was an array and contained the created booking ID.</x:v>
      </x:c>
      <x:c r="L17" s="45" t="str">
        <x:v>Pass</x:v>
      </x:c>
      <x:c r="M17" s="45" t="str"/>
      <x:c r="N17" s="45" t="str">
        <x:v>day5-19-booking-retrieval-results.png</x:v>
      </x:c>
      <x:c r="O17" s="48" t="str"/>
    </x:row>
    <x:row r="18">
      <x:c r="A18" s="47" t="str">
        <x:v>TC-UPD-001</x:v>
      </x:c>
      <x:c r="B18" s="45" t="str">
        <x:v>UPD-001</x:v>
      </x:c>
      <x:c r="C18" s="45" t="str">
        <x:v>Booking Update</x:v>
      </x:c>
      <x:c r="D18" s="45" t="str">
        <x:v>Authorized full booking update</x:v>
      </x:c>
      <x:c r="E18" s="45" t="str">
        <x:v>Valid token and booking ID exist</x:v>
      </x:c>
      <x:c r="F18" s="45" t="str">
        <x:v>PUT</x:v>
      </x:c>
      <x:c r="G18" s="45" t="str">
        <x:v>{{baseUrl}}/booking/{{bookingId}}</x:v>
      </x:c>
      <x:c r="H18" s="45" t="str">
        <x:v>Valid full updated booking body</x:v>
      </x:c>
      <x:c r="I18" s="45" t="str">
        <x:v>1. Send authenticated PUT request.
2. Verify status and all updated fields.</x:v>
      </x:c>
      <x:c r="J18" s="45" t="str">
        <x:v>HTTP 200 is returned and all submitted fields are updated accurately.</x:v>
      </x:c>
      <x:c r="K18" s="45" t="str">
        <x:v>HTTP 200 returned. The authenticated full update succeeded and returned all expected updated values.</x:v>
      </x:c>
      <x:c r="L18" s="45" t="str">
        <x:v>Pass</x:v>
      </x:c>
      <x:c r="M18" s="45" t="str"/>
      <x:c r="N18" s="45" t="str">
        <x:v>day5-20-booking-update-results.png</x:v>
      </x:c>
      <x:c r="O18" s="48" t="str"/>
    </x:row>
    <x:row r="19">
      <x:c r="A19" s="47" t="str">
        <x:v>TC-UPD-002</x:v>
      </x:c>
      <x:c r="B19" s="45" t="str">
        <x:v>UPD-003</x:v>
      </x:c>
      <x:c r="C19" s="45" t="str">
        <x:v>Booking Update</x:v>
      </x:c>
      <x:c r="D19" s="45" t="str">
        <x:v>Update without authentication</x:v>
      </x:c>
      <x:c r="E19" s="45" t="str">
        <x:v>A valid booking ID exists</x:v>
      </x:c>
      <x:c r="F19" s="45" t="str">
        <x:v>PUT</x:v>
      </x:c>
      <x:c r="G19" s="45" t="str">
        <x:v>{{baseUrl}}/booking/{{bookingId}}</x:v>
      </x:c>
      <x:c r="H19" s="45" t="str">
        <x:v>Valid update body without Cookie header</x:v>
      </x:c>
      <x:c r="I19" s="45" t="str">
        <x:v>1. Remove authentication.
2. Send PUT request.
3. Review status.</x:v>
      </x:c>
      <x:c r="J19" s="45" t="str">
        <x:v>HTTP 403 is returned and the update is rejected.</x:v>
      </x:c>
      <x:c r="K19" s="45" t="str">
        <x:v>HTTP 403 returned. The unauthorized update request was rejected.</x:v>
      </x:c>
      <x:c r="L19" s="45" t="str">
        <x:v>Pass</x:v>
      </x:c>
      <x:c r="M19" s="45" t="str"/>
      <x:c r="N19" s="45" t="str">
        <x:v>day5-20-booking-update-results.png</x:v>
      </x:c>
      <x:c r="O19" s="48" t="str">
        <x:v>Original draft DEF-DRAFT-002 rejected.</x:v>
      </x:c>
    </x:row>
    <x:row r="20">
      <x:c r="A20" s="47" t="str">
        <x:v>TC-UPD-003</x:v>
      </x:c>
      <x:c r="B20" s="45" t="str">
        <x:v>UPD-004</x:v>
      </x:c>
      <x:c r="C20" s="45" t="str">
        <x:v>Booking Update</x:v>
      </x:c>
      <x:c r="D20" s="45" t="str">
        <x:v>Update nonexistent booking</x:v>
      </x:c>
      <x:c r="E20" s="45" t="str">
        <x:v>Valid token exists</x:v>
      </x:c>
      <x:c r="F20" s="45" t="str">
        <x:v>PUT</x:v>
      </x:c>
      <x:c r="G20" s="45" t="str">
        <x:v>{{baseUrl}}/booking/{{nonexistentBookingId}}</x:v>
      </x:c>
      <x:c r="H20" s="45" t="str">
        <x:v>Valid update body for nonexistent ID</x:v>
      </x:c>
      <x:c r="I20" s="45" t="str">
        <x:v>1. Send authenticated update for nonexistent ID.
2. Review status.</x:v>
      </x:c>
      <x:c r="J20" s="45" t="str">
        <x:v>HTTP 404 or 405 is returned and no booking is updated.</x:v>
      </x:c>
      <x:c r="K20" s="45" t="str">
        <x:v>HTTP 405 returned. The nonexistent booking update was unsuccessful.</x:v>
      </x:c>
      <x:c r="L20" s="45" t="str">
        <x:v>Pass</x:v>
      </x:c>
      <x:c r="M20" s="45" t="str"/>
      <x:c r="N20" s="45" t="str">
        <x:v>Final runner evidence</x:v>
      </x:c>
      <x:c r="O20" s="48" t="str">
        <x:v>Recorded as observation because baseline accepted 404 or 405.</x:v>
      </x:c>
    </x:row>
    <x:row r="21">
      <x:c r="A21" s="47" t="str">
        <x:v>TC-UPD-004</x:v>
      </x:c>
      <x:c r="B21" s="45" t="str">
        <x:v>UPD-002</x:v>
      </x:c>
      <x:c r="C21" s="45" t="str">
        <x:v>Booking Update</x:v>
      </x:c>
      <x:c r="D21" s="45" t="str">
        <x:v>Authorized partial booking update</x:v>
      </x:c>
      <x:c r="E21" s="45" t="str">
        <x:v>Valid token and booking ID exist</x:v>
      </x:c>
      <x:c r="F21" s="45" t="str">
        <x:v>PATCH</x:v>
      </x:c>
      <x:c r="G21" s="45" t="str">
        <x:v>{{baseUrl}}/booking/{{bookingId}}</x:v>
      </x:c>
      <x:c r="H21" s="45" t="str">
        <x:v>Update additionalneeds only</x:v>
      </x:c>
      <x:c r="I21" s="45" t="str">
        <x:v>1. Send authenticated PATCH request.
2. Verify selected field changed.
3. Verify other fields remained unchanged.</x:v>
      </x:c>
      <x:c r="J21" s="45" t="str">
        <x:v>HTTP 200 is returned; selected field changes and other fields remain unchanged.</x:v>
      </x:c>
      <x:c r="K21" s="45" t="str">
        <x:v>HTTP 200 returned. The selected field was updated and other booking fields remained unchanged.</x:v>
      </x:c>
      <x:c r="L21" s="45" t="str">
        <x:v>Pass</x:v>
      </x:c>
      <x:c r="M21" s="45" t="str"/>
      <x:c r="N21" s="45" t="str">
        <x:v>day5-20-booking-update-results.png</x:v>
      </x:c>
      <x:c r="O21" s="48" t="str"/>
    </x:row>
    <x:row r="22">
      <x:c r="A22" s="47" t="str">
        <x:v>TC-UPD-005</x:v>
      </x:c>
      <x:c r="B22" s="45" t="str">
        <x:v>BOOK-003; NFR-002</x:v>
      </x:c>
      <x:c r="C22" s="45" t="str">
        <x:v>Booking Update</x:v>
      </x:c>
      <x:c r="D22" s="45" t="str">
        <x:v>Update with invalid date sequence</x:v>
      </x:c>
      <x:c r="E22" s="45" t="str">
        <x:v>Valid token and booking ID exist</x:v>
      </x:c>
      <x:c r="F22" s="45" t="str">
        <x:v>PUT</x:v>
      </x:c>
      <x:c r="G22" s="45" t="str">
        <x:v>{{baseUrl}}/booking/{{bookingId}}</x:v>
      </x:c>
      <x:c r="H22" s="45" t="str">
        <x:v>Check-in 2026-08-14; checkout 2026-08-10</x:v>
      </x:c>
      <x:c r="I22" s="45" t="str">
        <x:v>1. Send authenticated full update with invalid dates.
2. Review status and returned dates.</x:v>
      </x:c>
      <x:c r="J22" s="45" t="str">
        <x:v>HTTP 400 or 422 is returned and the invalid update is rejected.</x:v>
      </x:c>
      <x:c r="K22" s="45" t="str">
        <x:v>HTTP 200 returned. The authenticated update was accepted even though checkout occurred before check-in.</x:v>
      </x:c>
      <x:c r="L22" s="45" t="str">
        <x:v>Fail</x:v>
      </x:c>
      <x:c r="M22" s="45" t="str">
        <x:v>DEF-API-001</x:v>
      </x:c>
      <x:c r="N22" s="45" t="str">
        <x:v>day5-24 and day5-25 screenshots</x:v>
      </x:c>
      <x:c r="O22" s="48" t="str">
        <x:v>Confirmed business-rule defect.</x:v>
      </x:c>
    </x:row>
    <x:row r="23">
      <x:c r="A23" s="47" t="str">
        <x:v>TC-DEL-001</x:v>
      </x:c>
      <x:c r="B23" s="45" t="str">
        <x:v>DEL-001</x:v>
      </x:c>
      <x:c r="C23" s="45" t="str">
        <x:v>Booking Deletion</x:v>
      </x:c>
      <x:c r="D23" s="45" t="str">
        <x:v>Authorized booking deletion</x:v>
      </x:c>
      <x:c r="E23" s="45" t="str">
        <x:v>Valid token and booking ID exist</x:v>
      </x:c>
      <x:c r="F23" s="45" t="str">
        <x:v>DELETE</x:v>
      </x:c>
      <x:c r="G23" s="45" t="str">
        <x:v>{{baseUrl}}/booking/{{bookingId}}</x:v>
      </x:c>
      <x:c r="H23" s="45" t="str">
        <x:v>Current bookingId</x:v>
      </x:c>
      <x:c r="I23" s="45" t="str">
        <x:v>1. Send authenticated DELETE request.
2. Save deleted booking ID.</x:v>
      </x:c>
      <x:c r="J23" s="45" t="str">
        <x:v>HTTP 201 is returned and the booking is deleted.</x:v>
      </x:c>
      <x:c r="K23" s="45" t="str">
        <x:v>HTTP 201 returned. The authorized deletion completed successfully.</x:v>
      </x:c>
      <x:c r="L23" s="45" t="str">
        <x:v>Pass</x:v>
      </x:c>
      <x:c r="M23" s="45" t="str"/>
      <x:c r="N23" s="45" t="str">
        <x:v>day5-21-booking-deletion-results.png</x:v>
      </x:c>
      <x:c r="O23" s="48" t="str"/>
    </x:row>
    <x:row r="24">
      <x:c r="A24" s="47" t="str">
        <x:v>TC-DEL-002</x:v>
      </x:c>
      <x:c r="B24" s="45" t="str">
        <x:v>DEL-002</x:v>
      </x:c>
      <x:c r="C24" s="45" t="str">
        <x:v>Booking Deletion</x:v>
      </x:c>
      <x:c r="D24" s="45" t="str">
        <x:v>Retrieve deleted booking</x:v>
      </x:c>
      <x:c r="E24" s="45" t="str">
        <x:v>A booking was successfully deleted</x:v>
      </x:c>
      <x:c r="F24" s="45" t="str">
        <x:v>GET</x:v>
      </x:c>
      <x:c r="G24" s="45" t="str">
        <x:v>{{baseUrl}}/booking/{{deletedBookingId}}</x:v>
      </x:c>
      <x:c r="H24" s="45" t="str">
        <x:v>deletedBookingId</x:v>
      </x:c>
      <x:c r="I24" s="45" t="str">
        <x:v>1. Retrieve the deleted booking ID.
2. Review status.</x:v>
      </x:c>
      <x:c r="J24" s="45" t="str">
        <x:v>HTTP 404 is returned.</x:v>
      </x:c>
      <x:c r="K24" s="45" t="str">
        <x:v>HTTP 404 returned. The deleted booking was no longer retrievable.</x:v>
      </x:c>
      <x:c r="L24" s="45" t="str">
        <x:v>Pass</x:v>
      </x:c>
      <x:c r="M24" s="45" t="str"/>
      <x:c r="N24" s="45" t="str">
        <x:v>day5-21-booking-deletion-results.png</x:v>
      </x:c>
      <x:c r="O24" s="48" t="str">
        <x:v>Original draft DEF-DRAFT-003 rejected.</x:v>
      </x:c>
    </x:row>
    <x:row r="25">
      <x:c r="A25" s="47" t="str">
        <x:v>TC-DEL-003</x:v>
      </x:c>
      <x:c r="B25" s="45" t="str">
        <x:v>DEL-003</x:v>
      </x:c>
      <x:c r="C25" s="45" t="str">
        <x:v>Booking Deletion</x:v>
      </x:c>
      <x:c r="D25" s="45" t="str">
        <x:v>Delete without authentication</x:v>
      </x:c>
      <x:c r="E25" s="45" t="str">
        <x:v>A valid booking ID exists</x:v>
      </x:c>
      <x:c r="F25" s="45" t="str">
        <x:v>DELETE</x:v>
      </x:c>
      <x:c r="G25" s="45" t="str">
        <x:v>{{baseUrl}}/booking/{{bookingId}}</x:v>
      </x:c>
      <x:c r="H25" s="45" t="str">
        <x:v>No authentication header</x:v>
      </x:c>
      <x:c r="I25" s="45" t="str">
        <x:v>1. Send DELETE request without authentication.
2. Review status.</x:v>
      </x:c>
      <x:c r="J25" s="45" t="str">
        <x:v>HTTP 403 is returned and the booking is not deleted.</x:v>
      </x:c>
      <x:c r="K25" s="45" t="str">
        <x:v>HTTP 403 returned. The unauthorized deletion request was rejected.</x:v>
      </x:c>
      <x:c r="L25" s="45" t="str">
        <x:v>Pass</x:v>
      </x:c>
      <x:c r="M25" s="45" t="str"/>
      <x:c r="N25" s="45" t="str">
        <x:v>day5-21-booking-deletion-results.png</x:v>
      </x:c>
      <x:c r="O25" s="48" t="str"/>
    </x:row>
    <x:row r="26">
      <x:c r="A26" s="49" t="str">
        <x:v>TC-DEL-004</x:v>
      </x:c>
      <x:c r="B26" s="50" t="str">
        <x:v>DEL-004</x:v>
      </x:c>
      <x:c r="C26" s="50" t="str">
        <x:v>Booking Deletion</x:v>
      </x:c>
      <x:c r="D26" s="50" t="str">
        <x:v>Delete nonexistent booking</x:v>
      </x:c>
      <x:c r="E26" s="50" t="str">
        <x:v>Valid token exists</x:v>
      </x:c>
      <x:c r="F26" s="50" t="str">
        <x:v>DELETE</x:v>
      </x:c>
      <x:c r="G26" s="50" t="str">
        <x:v>{{baseUrl}}/booking/{{nonexistentBookingId}}</x:v>
      </x:c>
      <x:c r="H26" s="50" t="str">
        <x:v>Nonexistent booking ID</x:v>
      </x:c>
      <x:c r="I26" s="50" t="str">
        <x:v>1. Send authenticated DELETE for a nonexistent booking.
2. Review status.</x:v>
      </x:c>
      <x:c r="J26" s="50" t="str">
        <x:v>HTTP 404 or 405 is returned.</x:v>
      </x:c>
      <x:c r="K26" s="50" t="str">
        <x:v>HTTP 405 returned. The deletion of a nonexistent booking was unsuccessful.</x:v>
      </x:c>
      <x:c r="L26" s="50" t="str">
        <x:v>Pass</x:v>
      </x:c>
      <x:c r="M26" s="50" t="str"/>
      <x:c r="N26" s="50" t="str">
        <x:v>day5-37-final-complete-collection-run.png</x:v>
      </x:c>
      <x:c r="O26" s="51" t="str">
        <x:v>Recorded as observation because baseline accepted 404 or 405.</x:v>
      </x:c>
    </x:row>
  </x:sheetData>
  <x:conditionalFormatting sqref="L2:L26">
    <x:cfRule type="expression" dxfId="0" priority="1">
      <x:formula>L2="Pass"</x:formula>
    </x:cfRule>
    <x:cfRule type="expression" dxfId="1" priority="2">
      <x:formula>L2="Fail"</x:formula>
    </x:cfRule>
    <x:cfRule type="expression" dxfId="2" priority="3">
      <x:formula>L2="Blocked"</x:formula>
    </x:cfRule>
  </x:conditionalFormatting>
  <x:dataValidations count="1">
    <x:dataValidation type="list" sqref="L2:L200">
      <x:formula1>"Pass,Fail,Blocked,Not 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70" hidden="0" customWidth="1"/>
  </x:cols>
  <x:sheetData>
    <x:row r="1">
      <x:c r="A1" s="20" t="str">
        <x:v>Requirement ID</x:v>
      </x:c>
      <x:c r="B1" s="32" t="str">
        <x:v>Category</x:v>
      </x:c>
      <x:c r="C1" s="21" t="str">
        <x:v>Requirement Summary</x:v>
      </x:c>
    </x:row>
    <x:row r="2">
      <x:c r="A2" s="22" t="str">
        <x:v>AUTH-001</x:v>
      </x:c>
      <x:c r="B2" s="33" t="str">
        <x:v>Authentication</x:v>
      </x:c>
      <x:c r="C2" s="23" t="str">
        <x:v>Valid credentials return a usable token.</x:v>
      </x:c>
    </x:row>
    <x:row r="3">
      <x:c r="A3" s="22" t="str">
        <x:v>AUTH-002</x:v>
      </x:c>
      <x:c r="B3" s="33" t="str">
        <x:v>Authentication</x:v>
      </x:c>
      <x:c r="C3" s="23" t="str">
        <x:v>Invalid password does not return a token.</x:v>
      </x:c>
    </x:row>
    <x:row r="4">
      <x:c r="A4" s="22" t="str">
        <x:v>AUTH-003</x:v>
      </x:c>
      <x:c r="B4" s="33" t="str">
        <x:v>Authentication</x:v>
      </x:c>
      <x:c r="C4" s="23" t="str">
        <x:v>Missing username is rejected.</x:v>
      </x:c>
    </x:row>
    <x:row r="5">
      <x:c r="A5" s="22" t="str">
        <x:v>AUTH-004</x:v>
      </x:c>
      <x:c r="B5" s="33" t="str">
        <x:v>Authentication</x:v>
      </x:c>
      <x:c r="C5" s="23" t="str">
        <x:v>Missing password is rejected.</x:v>
      </x:c>
    </x:row>
    <x:row r="6">
      <x:c r="A6" s="22" t="str">
        <x:v>AUTH-005</x:v>
      </x:c>
      <x:c r="B6" s="33" t="str">
        <x:v>Authentication</x:v>
      </x:c>
      <x:c r="C6" s="23" t="str">
        <x:v>Blank credentials are rejected.</x:v>
      </x:c>
    </x:row>
    <x:row r="7">
      <x:c r="A7" s="22" t="str">
        <x:v>BOOK-001</x:v>
      </x:c>
      <x:c r="B7" s="33" t="str">
        <x:v>Booking Creation</x:v>
      </x:c>
      <x:c r="C7" s="23" t="str">
        <x:v>First name and last name are required.</x:v>
      </x:c>
    </x:row>
    <x:row r="8">
      <x:c r="A8" s="22" t="str">
        <x:v>BOOK-002</x:v>
      </x:c>
      <x:c r="B8" s="33" t="str">
        <x:v>Booking Creation</x:v>
      </x:c>
      <x:c r="C8" s="23" t="str">
        <x:v>Booking dates are required.</x:v>
      </x:c>
    </x:row>
    <x:row r="9">
      <x:c r="A9" s="22" t="str">
        <x:v>BOOK-003</x:v>
      </x:c>
      <x:c r="B9" s="33" t="str">
        <x:v>Booking Validation</x:v>
      </x:c>
      <x:c r="C9" s="23" t="str">
        <x:v>Checkout must occur after check-in.</x:v>
      </x:c>
    </x:row>
    <x:row r="10">
      <x:c r="A10" s="22" t="str">
        <x:v>BOOK-004</x:v>
      </x:c>
      <x:c r="B10" s="33" t="str">
        <x:v>Booking Validation</x:v>
      </x:c>
      <x:c r="C10" s="23" t="str">
        <x:v>Total price must be greater than zero.</x:v>
      </x:c>
    </x:row>
    <x:row r="11">
      <x:c r="A11" s="22" t="str">
        <x:v>BOOK-005</x:v>
      </x:c>
      <x:c r="B11" s="33" t="str">
        <x:v>Booking Creation</x:v>
      </x:c>
      <x:c r="C11" s="23" t="str">
        <x:v>A valid booking can be created.</x:v>
      </x:c>
    </x:row>
    <x:row r="12">
      <x:c r="A12" s="22" t="str">
        <x:v>BOOK-006</x:v>
      </x:c>
      <x:c r="B12" s="33" t="str">
        <x:v>Booking Creation</x:v>
      </x:c>
      <x:c r="C12" s="23" t="str">
        <x:v>Deposit status is stored accurately.</x:v>
      </x:c>
    </x:row>
    <x:row r="13">
      <x:c r="A13" s="22" t="str">
        <x:v>BOOK-007</x:v>
      </x:c>
      <x:c r="B13" s="33" t="str">
        <x:v>Booking Creation</x:v>
      </x:c>
      <x:c r="C13" s="23" t="str">
        <x:v>Additional needs are stored accurately.</x:v>
      </x:c>
    </x:row>
    <x:row r="14">
      <x:c r="A14" s="22" t="str">
        <x:v>BOOK-008</x:v>
      </x:c>
      <x:c r="B14" s="33" t="str">
        <x:v>Booking Creation</x:v>
      </x:c>
      <x:c r="C14" s="23" t="str">
        <x:v>Create response contains a booking ID and submitted booking data.</x:v>
      </x:c>
    </x:row>
    <x:row r="15">
      <x:c r="A15" s="22" t="str">
        <x:v>RET-001</x:v>
      </x:c>
      <x:c r="B15" s="33" t="str">
        <x:v>Retrieval</x:v>
      </x:c>
      <x:c r="C15" s="23" t="str">
        <x:v>An existing booking can be retrieved.</x:v>
      </x:c>
    </x:row>
    <x:row r="16">
      <x:c r="A16" s="22" t="str">
        <x:v>RET-002</x:v>
      </x:c>
      <x:c r="B16" s="33" t="str">
        <x:v>Retrieval</x:v>
      </x:c>
      <x:c r="C16" s="23" t="str">
        <x:v>A nonexistent booking returns a not-found response.</x:v>
      </x:c>
    </x:row>
    <x:row r="17">
      <x:c r="A17" s="22" t="str">
        <x:v>RET-003</x:v>
      </x:c>
      <x:c r="B17" s="33" t="str">
        <x:v>Retrieval</x:v>
      </x:c>
      <x:c r="C17" s="23" t="str">
        <x:v>Bookings can be searched by customer name.</x:v>
      </x:c>
    </x:row>
    <x:row r="18">
      <x:c r="A18" s="22" t="str">
        <x:v>UPD-001</x:v>
      </x:c>
      <x:c r="B18" s="33" t="str">
        <x:v>Update</x:v>
      </x:c>
      <x:c r="C18" s="23" t="str">
        <x:v>An authenticated full update succeeds.</x:v>
      </x:c>
    </x:row>
    <x:row r="19">
      <x:c r="A19" s="22" t="str">
        <x:v>UPD-002</x:v>
      </x:c>
      <x:c r="B19" s="33" t="str">
        <x:v>Update</x:v>
      </x:c>
      <x:c r="C19" s="23" t="str">
        <x:v>An authenticated partial update succeeds.</x:v>
      </x:c>
    </x:row>
    <x:row r="20">
      <x:c r="A20" s="22" t="str">
        <x:v>UPD-003</x:v>
      </x:c>
      <x:c r="B20" s="33" t="str">
        <x:v>Authorization</x:v>
      </x:c>
      <x:c r="C20" s="23" t="str">
        <x:v>An unauthenticated update is rejected.</x:v>
      </x:c>
    </x:row>
    <x:row r="21">
      <x:c r="A21" s="22" t="str">
        <x:v>UPD-004</x:v>
      </x:c>
      <x:c r="B21" s="33" t="str">
        <x:v>Update</x:v>
      </x:c>
      <x:c r="C21" s="23" t="str">
        <x:v>Updating a nonexistent booking is unsuccessful.</x:v>
      </x:c>
    </x:row>
    <x:row r="22">
      <x:c r="A22" s="22" t="str">
        <x:v>DEL-001</x:v>
      </x:c>
      <x:c r="B22" s="33" t="str">
        <x:v>Deletion</x:v>
      </x:c>
      <x:c r="C22" s="23" t="str">
        <x:v>An authenticated deletion succeeds.</x:v>
      </x:c>
    </x:row>
    <x:row r="23">
      <x:c r="A23" s="22" t="str">
        <x:v>DEL-002</x:v>
      </x:c>
      <x:c r="B23" s="33" t="str">
        <x:v>Deletion</x:v>
      </x:c>
      <x:c r="C23" s="23" t="str">
        <x:v>A deleted booking is no longer retrievable.</x:v>
      </x:c>
    </x:row>
    <x:row r="24">
      <x:c r="A24" s="22" t="str">
        <x:v>DEL-003</x:v>
      </x:c>
      <x:c r="B24" s="33" t="str">
        <x:v>Authorization</x:v>
      </x:c>
      <x:c r="C24" s="23" t="str">
        <x:v>An unauthenticated deletion is rejected.</x:v>
      </x:c>
    </x:row>
    <x:row r="25">
      <x:c r="A25" s="22" t="str">
        <x:v>DEL-004</x:v>
      </x:c>
      <x:c r="B25" s="33" t="str">
        <x:v>Deletion</x:v>
      </x:c>
      <x:c r="C25" s="23" t="str">
        <x:v>Deleting a nonexistent booking is unsuccessful.</x:v>
      </x:c>
    </x:row>
    <x:row r="26">
      <x:c r="A26" s="22" t="str">
        <x:v>NFR-001</x:v>
      </x:c>
      <x:c r="B26" s="33" t="str">
        <x:v>Performance</x:v>
      </x:c>
      <x:c r="C26" s="23" t="str">
        <x:v>Configured API requests complete within 2000 ms.</x:v>
      </x:c>
    </x:row>
    <x:row r="27">
      <x:c r="A27" s="22" t="str">
        <x:v>NFR-002</x:v>
      </x:c>
      <x:c r="B27" s="33" t="str">
        <x:v>Error Handling</x:v>
      </x:c>
      <x:c r="C27" s="23" t="str">
        <x:v>Invalid requests return clear client-validation responses.</x:v>
      </x:c>
    </x:row>
    <x:row r="28">
      <x:c r="A28" s="24" t="str">
        <x:v>NFR-003</x:v>
      </x:c>
      <x:c r="B28" s="34" t="str">
        <x:v>Security</x:v>
      </x:c>
      <x:c r="C28" s="25" t="str">
        <x:v>Public repository assets do not expose active credentials or tokens.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5" hidden="0" customWidth="1"/>
  </x:cols>
  <x:sheetData>
    <x:row r="1">
      <x:c r="A1" s="20" t="str">
        <x:v>Variable</x:v>
      </x:c>
      <x:c r="B1" s="32" t="str">
        <x:v>Public-Safe Value</x:v>
      </x:c>
      <x:c r="C1" s="21" t="str">
        <x:v>Notes</x:v>
      </x:c>
    </x:row>
    <x:row r="2">
      <x:c r="A2" s="22" t="str">
        <x:v>baseUrl</x:v>
      </x:c>
      <x:c r="B2" s="33" t="str">
        <x:v>https://restful-booker.herokuapp.com</x:v>
      </x:c>
      <x:c r="C2" s="23" t="str">
        <x:v>Safe public demonstration URL</x:v>
      </x:c>
    </x:row>
    <x:row r="3">
      <x:c r="A3" s="22" t="str">
        <x:v>username</x:v>
      </x:c>
      <x:c r="B3" s="33" t="str"/>
      <x:c r="C3" s="23" t="str">
        <x:v>Keep only in local Postman environment; do not publish</x:v>
      </x:c>
    </x:row>
    <x:row r="4">
      <x:c r="A4" s="22" t="str">
        <x:v>password</x:v>
      </x:c>
      <x:c r="B4" s="33" t="str"/>
      <x:c r="C4" s="23" t="str">
        <x:v>Keep only in local Postman environment; do not publish</x:v>
      </x:c>
    </x:row>
    <x:row r="5">
      <x:c r="A5" s="22" t="str">
        <x:v>token</x:v>
      </x:c>
      <x:c r="B5" s="33" t="str"/>
      <x:c r="C5" s="23" t="str">
        <x:v>Dynamic secret; never publish</x:v>
      </x:c>
    </x:row>
    <x:row r="6">
      <x:c r="A6" s="22" t="str">
        <x:v>authToken</x:v>
      </x:c>
      <x:c r="B6" s="33" t="str"/>
      <x:c r="C6" s="23" t="str">
        <x:v>Dynamic secret; never publish</x:v>
      </x:c>
    </x:row>
    <x:row r="7">
      <x:c r="A7" s="22" t="str">
        <x:v>bookingId</x:v>
      </x:c>
      <x:c r="B7" s="33" t="str"/>
      <x:c r="C7" s="23" t="str">
        <x:v>Dynamic value; clear before public export</x:v>
      </x:c>
    </x:row>
    <x:row r="8">
      <x:c r="A8" s="22" t="str">
        <x:v>deletedBookingId</x:v>
      </x:c>
      <x:c r="B8" s="33" t="str"/>
      <x:c r="C8" s="23" t="str">
        <x:v>Dynamic value; clear before public export</x:v>
      </x:c>
    </x:row>
    <x:row r="9">
      <x:c r="A9" s="22" t="str">
        <x:v>nonexistentBookingId</x:v>
      </x:c>
      <x:c r="B9" s="33" t="str">
        <x:v>999999999</x:v>
      </x:c>
      <x:c r="C9" s="23" t="str">
        <x:v>Safe synthetic value</x:v>
      </x:c>
    </x:row>
    <x:row r="10">
      <x:c r="A10" s="22" t="str">
        <x:v>responseTimeLimit</x:v>
      </x:c>
      <x:c r="B10" s="33" t="str">
        <x:v>2000</x:v>
      </x:c>
      <x:c r="C10" s="23" t="str">
        <x:v>Milliseconds</x:v>
      </x:c>
    </x:row>
    <x:row r="11">
      <x:c r="A11" s="22" t="str">
        <x:v>firstName</x:v>
      </x:c>
      <x:c r="B11" s="33" t="str">
        <x:v>Test</x:v>
      </x:c>
      <x:c r="C11" s="23" t="str">
        <x:v>Generic public-safe test data</x:v>
      </x:c>
    </x:row>
    <x:row r="12">
      <x:c r="A12" s="22" t="str">
        <x:v>lastName</x:v>
      </x:c>
      <x:c r="B12" s="33" t="str">
        <x:v>User</x:v>
      </x:c>
      <x:c r="C12" s="23" t="str">
        <x:v>Generic public-safe test data</x:v>
      </x:c>
    </x:row>
    <x:row r="13">
      <x:c r="A13" s="22" t="str">
        <x:v>totalPrice</x:v>
      </x:c>
      <x:c r="B13" s="33" t="str">
        <x:v>450</x:v>
      </x:c>
      <x:c r="C13" s="23" t="str">
        <x:v>Positive valid price</x:v>
      </x:c>
    </x:row>
    <x:row r="14">
      <x:c r="A14" s="22" t="str">
        <x:v>depositPaid</x:v>
      </x:c>
      <x:c r="B14" s="33" t="str">
        <x:v>true</x:v>
      </x:c>
      <x:c r="C14" s="23" t="str">
        <x:v>Boolean</x:v>
      </x:c>
    </x:row>
    <x:row r="15">
      <x:c r="A15" s="22" t="str">
        <x:v>checkIn</x:v>
      </x:c>
      <x:c r="B15" s="33" t="str">
        <x:v>2026-08-10</x:v>
      </x:c>
      <x:c r="C15" s="23" t="str">
        <x:v>Valid date</x:v>
      </x:c>
    </x:row>
    <x:row r="16">
      <x:c r="A16" s="22" t="str">
        <x:v>checkOut</x:v>
      </x:c>
      <x:c r="B16" s="33" t="str">
        <x:v>2026-08-14</x:v>
      </x:c>
      <x:c r="C16" s="23" t="str">
        <x:v>Valid date</x:v>
      </x:c>
    </x:row>
    <x:row r="17">
      <x:c r="A17" s="22" t="str">
        <x:v>invalidCheckIn</x:v>
      </x:c>
      <x:c r="B17" s="33" t="str">
        <x:v>2026-08-14</x:v>
      </x:c>
      <x:c r="C17" s="23" t="str">
        <x:v>Used for negative date testing</x:v>
      </x:c>
    </x:row>
    <x:row r="18">
      <x:c r="A18" s="24" t="str">
        <x:v>invalidCheckOut</x:v>
      </x:c>
      <x:c r="B18" s="34" t="str">
        <x:v>2026-08-10</x:v>
      </x:c>
      <x:c r="C18" s="25" t="str">
        <x:v>Used for negative date testing</x:v>
      </x:c>
    </x:row>
  </x:sheetData>
  <x:pageMargins left="0.7" right="0.7" top="0.75" bottom="0.75" header="0.3" footer="0.3"/>
</x:worksheet>
</file>